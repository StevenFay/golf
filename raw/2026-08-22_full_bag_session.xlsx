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t Data" sheetId="1" state="visible" r:id="rId3"/>
    <sheet name="Club Summary" sheetId="2" state="visible" r:id="rId4"/>
    <sheet name="Find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<sst xmlns="http://schemas.openxmlformats.org/spreadsheetml/2006/main" count="182" uniqueCount="117">
  <si>
    <t xml:space="preserve">Shot #</t>
  </si>
  <si>
    <t xml:space="preserve">Time</t>
  </si>
  <si>
    <t xml:space="preserve">Club</t>
  </si>
  <si>
    <t xml:space="preserve">Carry (m)</t>
  </si>
  <si>
    <t xml:space="preserve">Total (m)</t>
  </si>
  <si>
    <t xml:space="preserve">Offline (m)</t>
  </si>
  <si>
    <t xml:space="preserve">Club Speed (km/h)</t>
  </si>
  <si>
    <t xml:space="preserve">Ball Speed (km/h)</t>
  </si>
  <si>
    <t xml:space="preserve">Smash Factor</t>
  </si>
  <si>
    <t xml:space="preserve">Spin Axis (°)</t>
  </si>
  <si>
    <t xml:space="preserve">Back Spin (rpm)</t>
  </si>
  <si>
    <t xml:space="preserve">Side Spin (rpm)</t>
  </si>
  <si>
    <t xml:space="preserve">11:05:27</t>
  </si>
  <si>
    <t xml:space="preserve">LW</t>
  </si>
  <si>
    <t xml:space="preserve">11:05:47</t>
  </si>
  <si>
    <t xml:space="preserve">11:06:03</t>
  </si>
  <si>
    <t xml:space="preserve">11:06:20</t>
  </si>
  <si>
    <t xml:space="preserve">11:06:44</t>
  </si>
  <si>
    <t xml:space="preserve">11:07:56</t>
  </si>
  <si>
    <t xml:space="preserve">SW</t>
  </si>
  <si>
    <t xml:space="preserve">11:08:37</t>
  </si>
  <si>
    <t xml:space="preserve">11:08:50</t>
  </si>
  <si>
    <t xml:space="preserve">11:09:05</t>
  </si>
  <si>
    <t xml:space="preserve">11:09:21</t>
  </si>
  <si>
    <t xml:space="preserve">11:10:09</t>
  </si>
  <si>
    <t xml:space="preserve">GW</t>
  </si>
  <si>
    <t xml:space="preserve">11:10:22</t>
  </si>
  <si>
    <t xml:space="preserve">11:11:01</t>
  </si>
  <si>
    <t xml:space="preserve">11:11:19</t>
  </si>
  <si>
    <t xml:space="preserve">11:11:33</t>
  </si>
  <si>
    <t xml:space="preserve">11:12:18</t>
  </si>
  <si>
    <t xml:space="preserve">PW</t>
  </si>
  <si>
    <t xml:space="preserve">11:12:33</t>
  </si>
  <si>
    <t xml:space="preserve">11:12:48</t>
  </si>
  <si>
    <t xml:space="preserve">11:13:03</t>
  </si>
  <si>
    <t xml:space="preserve">11:13:21</t>
  </si>
  <si>
    <t xml:space="preserve">11:14:32</t>
  </si>
  <si>
    <t xml:space="preserve">9I</t>
  </si>
  <si>
    <t xml:space="preserve">11:14:47</t>
  </si>
  <si>
    <t xml:space="preserve">11:15:03</t>
  </si>
  <si>
    <t xml:space="preserve">11:16:04</t>
  </si>
  <si>
    <t xml:space="preserve">11:16:31</t>
  </si>
  <si>
    <t xml:space="preserve">11:17:17</t>
  </si>
  <si>
    <t xml:space="preserve">8I</t>
  </si>
  <si>
    <t xml:space="preserve">11:17:35</t>
  </si>
  <si>
    <t xml:space="preserve">11:17:52</t>
  </si>
  <si>
    <t xml:space="preserve">11:18:10</t>
  </si>
  <si>
    <t xml:space="preserve">11:18:30</t>
  </si>
  <si>
    <t xml:space="preserve">11:19:13</t>
  </si>
  <si>
    <t xml:space="preserve">7I</t>
  </si>
  <si>
    <t xml:space="preserve">11:19:34</t>
  </si>
  <si>
    <t xml:space="preserve">11:19:52</t>
  </si>
  <si>
    <t xml:space="preserve">11:20:38</t>
  </si>
  <si>
    <t xml:space="preserve">11:21:00</t>
  </si>
  <si>
    <t xml:space="preserve">11:24:26</t>
  </si>
  <si>
    <t xml:space="preserve">6I</t>
  </si>
  <si>
    <t xml:space="preserve">11:24:46</t>
  </si>
  <si>
    <t xml:space="preserve">11:25:02</t>
  </si>
  <si>
    <t xml:space="preserve">11:25:20</t>
  </si>
  <si>
    <t xml:space="preserve">11:28:17</t>
  </si>
  <si>
    <t xml:space="preserve">11:29:14</t>
  </si>
  <si>
    <t xml:space="preserve">5I</t>
  </si>
  <si>
    <t xml:space="preserve">11:29:29</t>
  </si>
  <si>
    <t xml:space="preserve">11:29:45</t>
  </si>
  <si>
    <t xml:space="preserve">11:30:02</t>
  </si>
  <si>
    <t xml:space="preserve">11:31:00</t>
  </si>
  <si>
    <t xml:space="preserve">4I</t>
  </si>
  <si>
    <t xml:space="preserve">11:31:17</t>
  </si>
  <si>
    <t xml:space="preserve">11:32:04</t>
  </si>
  <si>
    <t xml:space="preserve">11:32:20</t>
  </si>
  <si>
    <t xml:space="preserve">11:32:37</t>
  </si>
  <si>
    <t xml:space="preserve">11:33:45</t>
  </si>
  <si>
    <t xml:space="preserve">4H</t>
  </si>
  <si>
    <t xml:space="preserve">11:34:05</t>
  </si>
  <si>
    <t xml:space="preserve">11:34:22</t>
  </si>
  <si>
    <t xml:space="preserve">11:34:39</t>
  </si>
  <si>
    <t xml:space="preserve">11:34:56</t>
  </si>
  <si>
    <t xml:space="preserve">11:35:40</t>
  </si>
  <si>
    <t xml:space="preserve">11:37:34</t>
  </si>
  <si>
    <t xml:space="preserve">3W</t>
  </si>
  <si>
    <t xml:space="preserve">11:37:53</t>
  </si>
  <si>
    <t xml:space="preserve">11:38:13</t>
  </si>
  <si>
    <t xml:space="preserve">11:39:07</t>
  </si>
  <si>
    <t xml:space="preserve">11:39:28</t>
  </si>
  <si>
    <t xml:space="preserve">11:40:35</t>
  </si>
  <si>
    <t xml:space="preserve">DR</t>
  </si>
  <si>
    <t xml:space="preserve">11:40:57</t>
  </si>
  <si>
    <t xml:space="preserve">11:41:18</t>
  </si>
  <si>
    <t xml:space="preserve">11:42:13</t>
  </si>
  <si>
    <t xml:space="preserve">Shots</t>
  </si>
  <si>
    <t xml:space="preserve">Avg Carry (m)</t>
  </si>
  <si>
    <t xml:space="preserve">Median Carry (m)</t>
  </si>
  <si>
    <t xml:space="preserve">Min (m)</t>
  </si>
  <si>
    <t xml:space="preserve">Max (m)</t>
  </si>
  <si>
    <t xml:space="preserve">Carry Spread (m)</t>
  </si>
  <si>
    <t xml:space="preserve">Gap to Next (m)</t>
  </si>
  <si>
    <t xml:space="preserve">Avg Smash</t>
  </si>
  <si>
    <t xml:space="preserve">Avg Back Spin</t>
  </si>
  <si>
    <t xml:space="preserve">Avg Offline (m)</t>
  </si>
  <si>
    <t xml:space="preserve">Source: user's simulator session 22/08/2026 (65 shots transcribed from 5 screen photos; duplicate display rows removed). Median/Min/Max use array formulas. Gap = difference in avg carry vs next club down.</t>
  </si>
  <si>
    <t xml:space="preserve">FULL-BAG SESSION FINDINGS — 22 Aug 2026</t>
  </si>
  <si>
    <t xml:space="preserve">1. Driver is the weakest club in the bag</t>
  </si>
  <si>
    <t xml:space="preserve">Avg carry 163m with a 66m spread (128–194). Avg 3W carry (173m) beats it; best 3W (196m) ≈ best driver (194m). Big right-side misses (avg 11m offline right, one shot 22.8° spin axis). Session footer showed a driver swing with face 9.2° open vs path 0.6° — the slice lives at the top of the bag.</t>
  </si>
  <si>
    <t xml:space="preserve">2. Three clubs do one job</t>
  </si>
  <si>
    <t xml:space="preserve">4-iron (170m avg), 4-hybrid (173m) and 3W (173m excl. one mishit) all carry within ~3m of each other. That's three slots covering one distance. The 4H is the keeper: tightest spread (166–183) and best dispersion of the three.</t>
  </si>
  <si>
    <t xml:space="preserve">3. 5i and 6i nearly overlap</t>
  </si>
  <si>
    <t xml:space="preserve">153m vs 149m avg — only 4m apart, and 6i median actually 152 vs 5i 153. One of them is redundant on current gapping.</t>
  </si>
  <si>
    <t xml:space="preserve">4. Mid/short irons are the strength</t>
  </si>
  <si>
    <t xml:space="preserve">7i-8i-9i gaps are clean (12m, 8m) with respectable smash (1.26–1.39). This is the best-functioning part of the bag.</t>
  </si>
  <si>
    <t xml:space="preserve">5. The PW→GW chasm is confirmed again</t>
  </si>
  <si>
    <t xml:space="preserve">~23m gap between PW (106m) and GW (83m). This is the hole the new set's 50° wedge fills.</t>
  </si>
  <si>
    <t xml:space="preserve">6. Short-club miss is LEFT, long-club miss is RIGHT</t>
  </si>
  <si>
    <t xml:space="preserve">Wedges/short irons show negative side spin (draw/pull bias); driver, 4i, 4H, 3W show big right misses. Classic face-control pattern: face closes relative to path at low speed, hangs open at high speed.</t>
  </si>
  <si>
    <t xml:space="preserve">7. Wedge contact is inconsistent</t>
  </si>
  <si>
    <t xml:space="preserve">Smash 0.94–1.14 on GW/SW/LW with several fat/thin outliers (63m GW, 57m SW, 104m SW flier). Partial-wedge control is the biggest scoring opportunity.</t>
  </si>
  <si>
    <t xml:space="preserve">EQUIPMENT IMPLICATIONS</t>
  </si>
  <si>
    <t xml:space="preserve">G430 8-club set (5-PW, 50°, 54°) fits this data almost perfectly: fixes the PW-GW chasm, and the absent 4-iron doesn't matter because the 4H already covers 170-175m. Consider eventually dropping either 5i or 6i overlap will likely resolve with new lofts. Driver is the next project after the irons — a face-control lesson helps it most.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</si>
</sst>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CE6F1"/>
        <bgColor rgb="FFD9D9D9"/>
      </patternFill>
    </fill>
    <fill>
      <patternFill patternType="solid">
        <fgColor rgb="FFEBF1DE"/>
        <bgColor rgb="FFFDE9D9"/>
      </patternFill>
    </fill>
    <fill>
      <patternFill patternType="solid">
        <fgColor rgb="FFFDE9D9"/>
        <bgColor rgb="FFEBF1D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EBF1DE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D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Carry by Club (m)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'Club Summary'!C1</c:f>
              <c:strCache>
                <c:ptCount val="1"/>
                <c:pt idx="0">
                  <c:v>Avg Carry (m)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'Club Summary'!$A$2:$A$14</c:f>
              <c:strCache>
                <c:ptCount val="13"/>
                <c:pt idx="0">
                  <c:v>DR</c:v>
                </c:pt>
                <c:pt idx="1">
                  <c:v>3W</c:v>
                </c:pt>
                <c:pt idx="2">
                  <c:v>4H</c:v>
                </c:pt>
                <c:pt idx="3">
                  <c:v>4I</c:v>
                </c:pt>
                <c:pt idx="4">
                  <c:v>5I</c:v>
                </c:pt>
                <c:pt idx="5">
                  <c:v>6I</c:v>
                </c:pt>
                <c:pt idx="6">
                  <c:v>7I</c:v>
                </c:pt>
                <c:pt idx="7">
                  <c:v>8I</c:v>
                </c:pt>
                <c:pt idx="8">
                  <c:v>9I</c:v>
                </c:pt>
                <c:pt idx="9">
                  <c:v>PW</c:v>
                </c:pt>
                <c:pt idx="10">
                  <c:v>GW</c:v>
                </c:pt>
                <c:pt idx="11">
                  <c:v>SW</c:v>
                </c:pt>
                <c:pt idx="12">
                  <c:v>LW</c:v>
                </c:pt>
              </c:strCache>
            </c:strRef>
          </c:cat>
          <c:val>
            <c:numRef>
              <c:f>'Club Summary'!$C$2:$C$14</c:f>
              <c:numCache>
                <c:formatCode>General</c:formatCode>
                <c:ptCount val="13"/>
                <c:pt idx="0">
                  <c:v>162.9</c:v>
                </c:pt>
                <c:pt idx="1">
                  <c:v>173.2</c:v>
                </c:pt>
                <c:pt idx="2">
                  <c:v>173.4</c:v>
                </c:pt>
                <c:pt idx="3">
                  <c:v>170.1</c:v>
                </c:pt>
                <c:pt idx="4">
                  <c:v>153.3</c:v>
                </c:pt>
                <c:pt idx="5">
                  <c:v>149.1</c:v>
                </c:pt>
                <c:pt idx="6">
                  <c:v>139.4</c:v>
                </c:pt>
                <c:pt idx="7">
                  <c:v>128.5</c:v>
                </c:pt>
                <c:pt idx="8">
                  <c:v>119</c:v>
                </c:pt>
                <c:pt idx="9">
                  <c:v>105.6</c:v>
                </c:pt>
                <c:pt idx="10">
                  <c:v>83</c:v>
                </c:pt>
                <c:pt idx="11">
                  <c:v>75.6</c:v>
                </c:pt>
                <c:pt idx="12">
                  <c:v>68.4</c:v>
                </c:pt>
              </c:numCache>
            </c:numRef>
          </c:val>
        </c:ser>
        <c:gapWidth val="150"/>
        <c:overlap val="0"/>
        <c:axId val="47304171"/>
        <c:axId val="57534015"/>
      </c:barChart>
      <c:catAx>
        <c:axId val="47304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34015"/>
        <c:crosses val="autoZero"/>
        <c:auto val="1"/>
        <c:lblAlgn val="ctr"/>
        <c:lblOffset val="100"/>
        <c:noMultiLvlLbl val="0"/>
      </c:catAx>
      <c:valAx>
        <c:axId val="57534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3041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0</xdr:row>
      <xdr:rowOff>190440</xdr:rowOff>
    </xdr:from>
    <xdr:to>
      <xdr:col>23</xdr:col>
      <xdr:colOff>473040</xdr:colOff>
      <xdr:row>17</xdr:row>
      <xdr:rowOff>41040</xdr:rowOff>
    </xdr:to>
    <xdr:graphicFrame>
      <xdr:nvGraphicFramePr>
        <xdr:cNvPr id="0" name="Chart 1"/>
        <xdr:cNvGraphicFramePr/>
      </xdr:nvGraphicFramePr>
      <xdr:xfrm>
        <a:off x="9281160" y="19044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10" min="9" style="0" width="13"/>
    <col collapsed="false" customWidth="true" hidden="false" outlineLevel="0" max="12" min="1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23</v>
      </c>
      <c r="B2" s="2" t="s">
        <v>12</v>
      </c>
      <c r="C2" s="2" t="s">
        <v>13</v>
      </c>
      <c r="D2" s="2" t="n">
        <v>67</v>
      </c>
      <c r="E2" s="2" t="n">
        <v>67.5</v>
      </c>
      <c r="F2" s="2" t="n">
        <v>0.9</v>
      </c>
      <c r="G2" s="2" t="n">
        <v>114.8</v>
      </c>
      <c r="H2" s="2" t="n">
        <v>114.4</v>
      </c>
      <c r="I2" s="2" t="n">
        <v>1</v>
      </c>
      <c r="J2" s="2" t="n">
        <v>-5.3</v>
      </c>
      <c r="K2" s="2" t="n">
        <v>9733</v>
      </c>
      <c r="L2" s="2" t="n">
        <v>-900</v>
      </c>
    </row>
    <row r="3" customFormat="false" ht="15" hidden="false" customHeight="false" outlineLevel="0" collapsed="false">
      <c r="A3" s="2" t="n">
        <v>24</v>
      </c>
      <c r="B3" s="2" t="s">
        <v>14</v>
      </c>
      <c r="C3" s="2" t="s">
        <v>13</v>
      </c>
      <c r="D3" s="2" t="n">
        <v>67.4</v>
      </c>
      <c r="E3" s="2" t="n">
        <v>67.9</v>
      </c>
      <c r="F3" s="2" t="n">
        <v>0.2</v>
      </c>
      <c r="G3" s="2" t="n">
        <v>113.5</v>
      </c>
      <c r="H3" s="2" t="n">
        <v>114.5</v>
      </c>
      <c r="I3" s="2" t="n">
        <v>1.01</v>
      </c>
      <c r="J3" s="2" t="n">
        <v>-4</v>
      </c>
      <c r="K3" s="2" t="n">
        <v>9725</v>
      </c>
      <c r="L3" s="2" t="n">
        <v>-673</v>
      </c>
    </row>
    <row r="4" customFormat="false" ht="15" hidden="false" customHeight="false" outlineLevel="0" collapsed="false">
      <c r="A4" s="2" t="n">
        <v>25</v>
      </c>
      <c r="B4" s="2" t="s">
        <v>15</v>
      </c>
      <c r="C4" s="2" t="s">
        <v>13</v>
      </c>
      <c r="D4" s="2" t="n">
        <v>78.8</v>
      </c>
      <c r="E4" s="2" t="n">
        <v>83.5</v>
      </c>
      <c r="F4" s="2" t="n">
        <v>-12.8</v>
      </c>
      <c r="G4" s="2" t="n">
        <v>115.6</v>
      </c>
      <c r="H4" s="2" t="n">
        <v>121.6</v>
      </c>
      <c r="I4" s="2" t="n">
        <v>1.05</v>
      </c>
      <c r="J4" s="2" t="n">
        <v>-16.9</v>
      </c>
      <c r="K4" s="2" t="n">
        <v>7688</v>
      </c>
      <c r="L4" s="2" t="n">
        <v>-2340</v>
      </c>
    </row>
    <row r="5" customFormat="false" ht="15" hidden="false" customHeight="false" outlineLevel="0" collapsed="false">
      <c r="A5" s="2" t="n">
        <v>26</v>
      </c>
      <c r="B5" s="2" t="s">
        <v>16</v>
      </c>
      <c r="C5" s="2" t="s">
        <v>13</v>
      </c>
      <c r="D5" s="2" t="n">
        <v>72.7</v>
      </c>
      <c r="E5" s="2" t="n">
        <v>74.7</v>
      </c>
      <c r="F5" s="2" t="n">
        <v>-7.2</v>
      </c>
      <c r="G5" s="2" t="n">
        <v>113.7</v>
      </c>
      <c r="H5" s="2" t="n">
        <v>118.7</v>
      </c>
      <c r="I5" s="2" t="n">
        <v>1.04</v>
      </c>
      <c r="J5" s="2" t="n">
        <v>-13.2</v>
      </c>
      <c r="K5" s="2" t="n">
        <v>8978</v>
      </c>
      <c r="L5" s="2" t="n">
        <v>-2103</v>
      </c>
    </row>
    <row r="6" customFormat="false" ht="15" hidden="false" customHeight="false" outlineLevel="0" collapsed="false">
      <c r="A6" s="2" t="n">
        <v>27</v>
      </c>
      <c r="B6" s="2" t="s">
        <v>17</v>
      </c>
      <c r="C6" s="2" t="s">
        <v>13</v>
      </c>
      <c r="D6" s="2" t="n">
        <v>56.3</v>
      </c>
      <c r="E6" s="2" t="n">
        <v>58</v>
      </c>
      <c r="F6" s="2" t="n">
        <v>3.1</v>
      </c>
      <c r="G6" s="2" t="n">
        <v>104.2</v>
      </c>
      <c r="H6" s="2" t="n">
        <v>99</v>
      </c>
      <c r="I6" s="2" t="n">
        <v>0.95</v>
      </c>
      <c r="J6" s="2" t="n">
        <v>-2.7</v>
      </c>
      <c r="K6" s="2" t="n">
        <v>8280</v>
      </c>
      <c r="L6" s="2" t="n">
        <v>-385</v>
      </c>
    </row>
    <row r="7" customFormat="false" ht="15" hidden="false" customHeight="false" outlineLevel="0" collapsed="false">
      <c r="A7" s="2" t="n">
        <v>29</v>
      </c>
      <c r="B7" s="2" t="s">
        <v>18</v>
      </c>
      <c r="C7" s="2" t="s">
        <v>19</v>
      </c>
      <c r="D7" s="2" t="n">
        <v>67.9</v>
      </c>
      <c r="E7" s="2" t="n">
        <v>70.5</v>
      </c>
      <c r="F7" s="2" t="n">
        <v>5.5</v>
      </c>
      <c r="G7" s="2" t="n">
        <v>118.8</v>
      </c>
      <c r="H7" s="2" t="n">
        <v>111.4</v>
      </c>
      <c r="I7" s="2" t="n">
        <v>0.94</v>
      </c>
      <c r="J7" s="2" t="n">
        <v>4.5</v>
      </c>
      <c r="K7" s="2" t="n">
        <v>8664</v>
      </c>
      <c r="L7" s="2" t="n">
        <v>687</v>
      </c>
    </row>
    <row r="8" customFormat="false" ht="15" hidden="false" customHeight="false" outlineLevel="0" collapsed="false">
      <c r="A8" s="2" t="n">
        <v>31</v>
      </c>
      <c r="B8" s="2" t="s">
        <v>20</v>
      </c>
      <c r="C8" s="2" t="s">
        <v>19</v>
      </c>
      <c r="D8" s="2" t="n">
        <v>104.3</v>
      </c>
      <c r="E8" s="2" t="n">
        <v>117.1</v>
      </c>
      <c r="F8" s="2" t="n">
        <v>-12.1</v>
      </c>
      <c r="G8" s="2" t="n">
        <v>118.6</v>
      </c>
      <c r="H8" s="2" t="n">
        <v>145.2</v>
      </c>
      <c r="I8" s="2" t="n">
        <v>1.22</v>
      </c>
      <c r="J8" s="2" t="n">
        <v>-18.3</v>
      </c>
      <c r="K8" s="2" t="n">
        <v>5656</v>
      </c>
      <c r="L8" s="2" t="n">
        <v>-1867</v>
      </c>
    </row>
    <row r="9" customFormat="false" ht="15" hidden="false" customHeight="false" outlineLevel="0" collapsed="false">
      <c r="A9" s="2" t="n">
        <v>32</v>
      </c>
      <c r="B9" s="2" t="s">
        <v>21</v>
      </c>
      <c r="C9" s="2" t="s">
        <v>19</v>
      </c>
      <c r="D9" s="2" t="n">
        <v>73.8</v>
      </c>
      <c r="E9" s="2" t="n">
        <v>74.3</v>
      </c>
      <c r="F9" s="2" t="n">
        <v>3.5</v>
      </c>
      <c r="G9" s="2" t="n">
        <v>117.9</v>
      </c>
      <c r="H9" s="2" t="n">
        <v>122.9</v>
      </c>
      <c r="I9" s="2" t="n">
        <v>1.04</v>
      </c>
      <c r="J9" s="2" t="n">
        <v>-1.9</v>
      </c>
      <c r="K9" s="2" t="n">
        <v>9871</v>
      </c>
      <c r="L9" s="2" t="n">
        <v>-320</v>
      </c>
    </row>
    <row r="10" customFormat="false" ht="15" hidden="false" customHeight="false" outlineLevel="0" collapsed="false">
      <c r="A10" s="2" t="n">
        <v>33</v>
      </c>
      <c r="B10" s="2" t="s">
        <v>22</v>
      </c>
      <c r="C10" s="2" t="s">
        <v>19</v>
      </c>
      <c r="D10" s="2" t="n">
        <v>74.9</v>
      </c>
      <c r="E10" s="2" t="n">
        <v>76.3</v>
      </c>
      <c r="F10" s="2" t="n">
        <v>3.5</v>
      </c>
      <c r="G10" s="2" t="n">
        <v>115.5</v>
      </c>
      <c r="H10" s="2" t="n">
        <v>121.9</v>
      </c>
      <c r="I10" s="2" t="n">
        <v>1.05</v>
      </c>
      <c r="J10" s="2" t="n">
        <v>-4.1</v>
      </c>
      <c r="K10" s="2" t="n">
        <v>9186</v>
      </c>
      <c r="L10" s="2" t="n">
        <v>-652</v>
      </c>
    </row>
    <row r="11" customFormat="false" ht="15" hidden="false" customHeight="false" outlineLevel="0" collapsed="false">
      <c r="A11" s="2" t="n">
        <v>34</v>
      </c>
      <c r="B11" s="2" t="s">
        <v>23</v>
      </c>
      <c r="C11" s="2" t="s">
        <v>19</v>
      </c>
      <c r="D11" s="2" t="n">
        <v>57</v>
      </c>
      <c r="E11" s="2" t="n">
        <v>61.4</v>
      </c>
      <c r="F11" s="2" t="n">
        <v>3.7</v>
      </c>
      <c r="G11" s="2" t="n">
        <v>87</v>
      </c>
      <c r="H11" s="2" t="n">
        <v>97.1</v>
      </c>
      <c r="I11" s="2" t="n">
        <v>1.12</v>
      </c>
      <c r="J11" s="2" t="n">
        <v>0.8</v>
      </c>
      <c r="K11" s="2" t="n">
        <v>6296</v>
      </c>
      <c r="L11" s="2" t="n">
        <v>85</v>
      </c>
    </row>
    <row r="12" customFormat="false" ht="15" hidden="false" customHeight="false" outlineLevel="0" collapsed="false">
      <c r="A12" s="2" t="n">
        <v>35</v>
      </c>
      <c r="B12" s="2" t="s">
        <v>24</v>
      </c>
      <c r="C12" s="2" t="s">
        <v>25</v>
      </c>
      <c r="D12" s="2" t="n">
        <v>63</v>
      </c>
      <c r="E12" s="2" t="n">
        <v>65.3</v>
      </c>
      <c r="F12" s="2" t="n">
        <v>5.3</v>
      </c>
      <c r="G12" s="2" t="n">
        <v>113</v>
      </c>
      <c r="H12" s="2" t="n">
        <v>106</v>
      </c>
      <c r="I12" s="2" t="n">
        <v>0.94</v>
      </c>
      <c r="J12" s="2" t="n">
        <v>1.1</v>
      </c>
      <c r="K12" s="2" t="n">
        <v>8101</v>
      </c>
      <c r="L12" s="2" t="n">
        <v>155</v>
      </c>
    </row>
    <row r="13" customFormat="false" ht="15" hidden="false" customHeight="false" outlineLevel="0" collapsed="false">
      <c r="A13" s="2" t="n">
        <v>36</v>
      </c>
      <c r="B13" s="2" t="s">
        <v>26</v>
      </c>
      <c r="C13" s="2" t="s">
        <v>25</v>
      </c>
      <c r="D13" s="2" t="n">
        <v>89.2</v>
      </c>
      <c r="E13" s="2" t="n">
        <v>92.5</v>
      </c>
      <c r="F13" s="2" t="n">
        <v>-5.4</v>
      </c>
      <c r="G13" s="2" t="n">
        <v>117.8</v>
      </c>
      <c r="H13" s="2" t="n">
        <v>134.9</v>
      </c>
      <c r="I13" s="2" t="n">
        <v>1.14</v>
      </c>
      <c r="J13" s="2" t="n">
        <v>-6.7</v>
      </c>
      <c r="K13" s="2" t="n">
        <v>8257</v>
      </c>
      <c r="L13" s="2" t="n">
        <v>-962</v>
      </c>
    </row>
    <row r="14" customFormat="false" ht="15" hidden="false" customHeight="false" outlineLevel="0" collapsed="false">
      <c r="A14" s="2" t="n">
        <v>38</v>
      </c>
      <c r="B14" s="2" t="s">
        <v>27</v>
      </c>
      <c r="C14" s="2" t="s">
        <v>25</v>
      </c>
      <c r="D14" s="2" t="n">
        <v>86.2</v>
      </c>
      <c r="E14" s="2" t="n">
        <v>88.4</v>
      </c>
      <c r="F14" s="2" t="n">
        <v>-3.3</v>
      </c>
      <c r="G14" s="2" t="n">
        <v>119.3</v>
      </c>
      <c r="H14" s="2" t="n">
        <v>133.9</v>
      </c>
      <c r="I14" s="2" t="n">
        <v>1.12</v>
      </c>
      <c r="J14" s="2" t="n">
        <v>-4.9</v>
      </c>
      <c r="K14" s="2" t="n">
        <v>8731</v>
      </c>
      <c r="L14" s="2" t="n">
        <v>-752</v>
      </c>
    </row>
    <row r="15" customFormat="false" ht="15" hidden="false" customHeight="false" outlineLevel="0" collapsed="false">
      <c r="A15" s="2" t="n">
        <v>39</v>
      </c>
      <c r="B15" s="2" t="s">
        <v>28</v>
      </c>
      <c r="C15" s="2" t="s">
        <v>25</v>
      </c>
      <c r="D15" s="2" t="n">
        <v>84</v>
      </c>
      <c r="E15" s="2" t="n">
        <v>86.2</v>
      </c>
      <c r="F15" s="2" t="n">
        <v>0</v>
      </c>
      <c r="G15" s="2" t="n">
        <v>120</v>
      </c>
      <c r="H15" s="2" t="n">
        <v>131.6</v>
      </c>
      <c r="I15" s="2" t="n">
        <v>1.1</v>
      </c>
      <c r="J15" s="2" t="n">
        <v>-2.6</v>
      </c>
      <c r="K15" s="2" t="n">
        <v>8687</v>
      </c>
      <c r="L15" s="2" t="n">
        <v>-394</v>
      </c>
    </row>
    <row r="16" customFormat="false" ht="15" hidden="false" customHeight="false" outlineLevel="0" collapsed="false">
      <c r="A16" s="2" t="n">
        <v>40</v>
      </c>
      <c r="B16" s="2" t="s">
        <v>29</v>
      </c>
      <c r="C16" s="2" t="s">
        <v>25</v>
      </c>
      <c r="D16" s="2" t="n">
        <v>92.8</v>
      </c>
      <c r="E16" s="2" t="n">
        <v>104</v>
      </c>
      <c r="F16" s="2" t="n">
        <v>17.6</v>
      </c>
      <c r="G16" s="2" t="n">
        <v>122.7</v>
      </c>
      <c r="H16" s="2" t="n">
        <v>131.4</v>
      </c>
      <c r="I16" s="2" t="n">
        <v>1.07</v>
      </c>
      <c r="J16" s="2" t="n">
        <v>11.2</v>
      </c>
      <c r="K16" s="2" t="n">
        <v>5614</v>
      </c>
      <c r="L16" s="2" t="n">
        <v>1114</v>
      </c>
    </row>
    <row r="17" customFormat="false" ht="15" hidden="false" customHeight="false" outlineLevel="0" collapsed="false">
      <c r="A17" s="2" t="n">
        <v>41</v>
      </c>
      <c r="B17" s="2" t="s">
        <v>30</v>
      </c>
      <c r="C17" s="2" t="s">
        <v>31</v>
      </c>
      <c r="D17" s="2" t="n">
        <v>115.8</v>
      </c>
      <c r="E17" s="2" t="n">
        <v>122.5</v>
      </c>
      <c r="F17" s="2" t="n">
        <v>-12</v>
      </c>
      <c r="G17" s="2" t="n">
        <v>124.4</v>
      </c>
      <c r="H17" s="2" t="n">
        <v>157.4</v>
      </c>
      <c r="I17" s="2" t="n">
        <v>1.27</v>
      </c>
      <c r="J17" s="2" t="n">
        <v>-11</v>
      </c>
      <c r="K17" s="2" t="n">
        <v>7115</v>
      </c>
      <c r="L17" s="2" t="n">
        <v>-1380</v>
      </c>
    </row>
    <row r="18" customFormat="false" ht="15" hidden="false" customHeight="false" outlineLevel="0" collapsed="false">
      <c r="A18" s="2" t="n">
        <v>42</v>
      </c>
      <c r="B18" s="2" t="s">
        <v>32</v>
      </c>
      <c r="C18" s="2" t="s">
        <v>31</v>
      </c>
      <c r="D18" s="2" t="n">
        <v>108.7</v>
      </c>
      <c r="E18" s="2" t="n">
        <v>114.6</v>
      </c>
      <c r="F18" s="2" t="n">
        <v>-3</v>
      </c>
      <c r="G18" s="2" t="n">
        <v>124.6</v>
      </c>
      <c r="H18" s="2" t="n">
        <v>150.9</v>
      </c>
      <c r="I18" s="2" t="n">
        <v>1.21</v>
      </c>
      <c r="J18" s="2" t="n">
        <v>-5.4</v>
      </c>
      <c r="K18" s="2" t="n">
        <v>7537</v>
      </c>
      <c r="L18" s="2" t="n">
        <v>-718</v>
      </c>
    </row>
    <row r="19" customFormat="false" ht="15" hidden="false" customHeight="false" outlineLevel="0" collapsed="false">
      <c r="A19" s="2" t="n">
        <v>43</v>
      </c>
      <c r="B19" s="2" t="s">
        <v>33</v>
      </c>
      <c r="C19" s="2" t="s">
        <v>31</v>
      </c>
      <c r="D19" s="2" t="n">
        <v>113.4</v>
      </c>
      <c r="E19" s="2" t="n">
        <v>119.9</v>
      </c>
      <c r="F19" s="2" t="n">
        <v>4.9</v>
      </c>
      <c r="G19" s="2" t="n">
        <v>123</v>
      </c>
      <c r="H19" s="2" t="n">
        <v>154.8</v>
      </c>
      <c r="I19" s="2" t="n">
        <v>1.26</v>
      </c>
      <c r="J19" s="2" t="n">
        <v>-3.9</v>
      </c>
      <c r="K19" s="2" t="n">
        <v>7006</v>
      </c>
      <c r="L19" s="2" t="n">
        <v>-476</v>
      </c>
    </row>
    <row r="20" customFormat="false" ht="15" hidden="false" customHeight="false" outlineLevel="0" collapsed="false">
      <c r="A20" s="2" t="n">
        <v>44</v>
      </c>
      <c r="B20" s="2" t="s">
        <v>34</v>
      </c>
      <c r="C20" s="2" t="s">
        <v>31</v>
      </c>
      <c r="D20" s="2" t="n">
        <v>84.4</v>
      </c>
      <c r="E20" s="2" t="n">
        <v>100.7</v>
      </c>
      <c r="F20" s="2" t="n">
        <v>-15.4</v>
      </c>
      <c r="G20" s="2" t="n">
        <v>97.9</v>
      </c>
      <c r="H20" s="2" t="n">
        <v>124.6</v>
      </c>
      <c r="I20" s="2" t="n">
        <v>1.27</v>
      </c>
      <c r="J20" s="2" t="n">
        <v>-33.3</v>
      </c>
      <c r="K20" s="2" t="n">
        <v>3175</v>
      </c>
      <c r="L20" s="2" t="n">
        <v>-2082</v>
      </c>
    </row>
    <row r="21" customFormat="false" ht="15" hidden="false" customHeight="false" outlineLevel="0" collapsed="false">
      <c r="A21" s="2" t="n">
        <v>45</v>
      </c>
      <c r="B21" s="2" t="s">
        <v>35</v>
      </c>
      <c r="C21" s="2" t="s">
        <v>31</v>
      </c>
      <c r="D21" s="2" t="n">
        <v>105.7</v>
      </c>
      <c r="E21" s="2" t="n">
        <v>113.3</v>
      </c>
      <c r="F21" s="2" t="n">
        <v>-3</v>
      </c>
      <c r="G21" s="2" t="n">
        <v>118.3</v>
      </c>
      <c r="H21" s="2" t="n">
        <v>144.4</v>
      </c>
      <c r="I21" s="2" t="n">
        <v>1.22</v>
      </c>
      <c r="J21" s="2" t="n">
        <v>-9.4</v>
      </c>
      <c r="K21" s="2" t="n">
        <v>6308</v>
      </c>
      <c r="L21" s="2" t="n">
        <v>-1042</v>
      </c>
    </row>
    <row r="22" customFormat="false" ht="15" hidden="false" customHeight="false" outlineLevel="0" collapsed="false">
      <c r="A22" s="3" t="n">
        <v>46</v>
      </c>
      <c r="B22" s="3" t="s">
        <v>36</v>
      </c>
      <c r="C22" s="3" t="s">
        <v>37</v>
      </c>
      <c r="D22" s="3" t="n">
        <v>121.8</v>
      </c>
      <c r="E22" s="3" t="n">
        <v>129.7</v>
      </c>
      <c r="F22" s="3" t="n">
        <v>-6.6</v>
      </c>
      <c r="G22" s="3" t="n">
        <v>125.5</v>
      </c>
      <c r="H22" s="3" t="n">
        <v>161.1</v>
      </c>
      <c r="I22" s="3" t="n">
        <v>1.28</v>
      </c>
      <c r="J22" s="3" t="n">
        <v>-8.6</v>
      </c>
      <c r="K22" s="3" t="n">
        <v>6746</v>
      </c>
      <c r="L22" s="3" t="n">
        <v>-1018</v>
      </c>
    </row>
    <row r="23" customFormat="false" ht="15" hidden="false" customHeight="false" outlineLevel="0" collapsed="false">
      <c r="A23" s="3" t="n">
        <v>47</v>
      </c>
      <c r="B23" s="3" t="s">
        <v>38</v>
      </c>
      <c r="C23" s="3" t="s">
        <v>37</v>
      </c>
      <c r="D23" s="3" t="n">
        <v>123.7</v>
      </c>
      <c r="E23" s="3" t="n">
        <v>132.6</v>
      </c>
      <c r="F23" s="3" t="n">
        <v>-11.4</v>
      </c>
      <c r="G23" s="3" t="n">
        <v>123.8</v>
      </c>
      <c r="H23" s="3" t="n">
        <v>162.4</v>
      </c>
      <c r="I23" s="3" t="n">
        <v>1.31</v>
      </c>
      <c r="J23" s="3" t="n">
        <v>-12.9</v>
      </c>
      <c r="K23" s="3" t="n">
        <v>6377</v>
      </c>
      <c r="L23" s="3" t="n">
        <v>-1465</v>
      </c>
    </row>
    <row r="24" customFormat="false" ht="15" hidden="false" customHeight="false" outlineLevel="0" collapsed="false">
      <c r="A24" s="3" t="n">
        <v>48</v>
      </c>
      <c r="B24" s="3" t="s">
        <v>39</v>
      </c>
      <c r="C24" s="3" t="s">
        <v>37</v>
      </c>
      <c r="D24" s="3" t="n">
        <v>116.7</v>
      </c>
      <c r="E24" s="3" t="n">
        <v>126.6</v>
      </c>
      <c r="F24" s="3" t="n">
        <v>0.9</v>
      </c>
      <c r="G24" s="3" t="n">
        <v>120.4</v>
      </c>
      <c r="H24" s="3" t="n">
        <v>152.3</v>
      </c>
      <c r="I24" s="3" t="n">
        <v>1.26</v>
      </c>
      <c r="J24" s="3" t="n">
        <v>-3.8</v>
      </c>
      <c r="K24" s="3" t="n">
        <v>5711</v>
      </c>
      <c r="L24" s="3" t="n">
        <v>-379</v>
      </c>
    </row>
    <row r="25" customFormat="false" ht="15" hidden="false" customHeight="false" outlineLevel="0" collapsed="false">
      <c r="A25" s="3" t="n">
        <v>49</v>
      </c>
      <c r="B25" s="3" t="s">
        <v>40</v>
      </c>
      <c r="C25" s="3" t="s">
        <v>37</v>
      </c>
      <c r="D25" s="3" t="n">
        <v>118.4</v>
      </c>
      <c r="E25" s="3" t="n">
        <v>125.1</v>
      </c>
      <c r="F25" s="3" t="n">
        <v>8.6</v>
      </c>
      <c r="G25" s="3" t="n">
        <v>126.5</v>
      </c>
      <c r="H25" s="3" t="n">
        <v>159.5</v>
      </c>
      <c r="I25" s="3" t="n">
        <v>1.26</v>
      </c>
      <c r="J25" s="3" t="n">
        <v>0.1</v>
      </c>
      <c r="K25" s="3" t="n">
        <v>7471</v>
      </c>
      <c r="L25" s="3" t="n">
        <v>8</v>
      </c>
    </row>
    <row r="26" customFormat="false" ht="15" hidden="false" customHeight="false" outlineLevel="0" collapsed="false">
      <c r="A26" s="3" t="n">
        <v>50</v>
      </c>
      <c r="B26" s="3" t="s">
        <v>41</v>
      </c>
      <c r="C26" s="3" t="s">
        <v>37</v>
      </c>
      <c r="D26" s="3" t="n">
        <v>114.5</v>
      </c>
      <c r="E26" s="3" t="n">
        <v>120.7</v>
      </c>
      <c r="F26" s="3" t="n">
        <v>14.8</v>
      </c>
      <c r="G26" s="3" t="n">
        <v>124</v>
      </c>
      <c r="H26" s="3" t="n">
        <v>157</v>
      </c>
      <c r="I26" s="3" t="n">
        <v>1.27</v>
      </c>
      <c r="J26" s="3" t="n">
        <v>4.2</v>
      </c>
      <c r="K26" s="3" t="n">
        <v>7334</v>
      </c>
      <c r="L26" s="3" t="n">
        <v>534</v>
      </c>
    </row>
    <row r="27" customFormat="false" ht="15" hidden="false" customHeight="false" outlineLevel="0" collapsed="false">
      <c r="A27" s="3" t="n">
        <v>51</v>
      </c>
      <c r="B27" s="3" t="s">
        <v>42</v>
      </c>
      <c r="C27" s="3" t="s">
        <v>43</v>
      </c>
      <c r="D27" s="3" t="n">
        <v>140.3</v>
      </c>
      <c r="E27" s="3" t="n">
        <v>152.8</v>
      </c>
      <c r="F27" s="3" t="n">
        <v>-9.4</v>
      </c>
      <c r="G27" s="3" t="n">
        <v>124.6</v>
      </c>
      <c r="H27" s="3" t="n">
        <v>173.3</v>
      </c>
      <c r="I27" s="3" t="n">
        <v>1.39</v>
      </c>
      <c r="J27" s="3" t="n">
        <v>-9.3</v>
      </c>
      <c r="K27" s="3" t="n">
        <v>5262</v>
      </c>
      <c r="L27" s="3" t="n">
        <v>-866</v>
      </c>
    </row>
    <row r="28" customFormat="false" ht="15" hidden="false" customHeight="false" outlineLevel="0" collapsed="false">
      <c r="A28" s="3" t="n">
        <v>52</v>
      </c>
      <c r="B28" s="3" t="s">
        <v>44</v>
      </c>
      <c r="C28" s="3" t="s">
        <v>43</v>
      </c>
      <c r="D28" s="3" t="n">
        <v>125.9</v>
      </c>
      <c r="E28" s="3" t="n">
        <v>138.1</v>
      </c>
      <c r="F28" s="3" t="n">
        <v>-1.5</v>
      </c>
      <c r="G28" s="3" t="n">
        <v>127.7</v>
      </c>
      <c r="H28" s="3" t="n">
        <v>161.1</v>
      </c>
      <c r="I28" s="3" t="n">
        <v>1.26</v>
      </c>
      <c r="J28" s="3" t="n">
        <v>-1.9</v>
      </c>
      <c r="K28" s="3" t="n">
        <v>5738</v>
      </c>
      <c r="L28" s="3" t="n">
        <v>-188</v>
      </c>
    </row>
    <row r="29" customFormat="false" ht="15" hidden="false" customHeight="false" outlineLevel="0" collapsed="false">
      <c r="A29" s="3" t="n">
        <v>53</v>
      </c>
      <c r="B29" s="3" t="s">
        <v>45</v>
      </c>
      <c r="C29" s="3" t="s">
        <v>43</v>
      </c>
      <c r="D29" s="3" t="n">
        <v>130</v>
      </c>
      <c r="E29" s="3" t="n">
        <v>142.4</v>
      </c>
      <c r="F29" s="3" t="n">
        <v>21</v>
      </c>
      <c r="G29" s="3" t="n">
        <v>123.7</v>
      </c>
      <c r="H29" s="3" t="n">
        <v>163.1</v>
      </c>
      <c r="I29" s="3" t="n">
        <v>1.32</v>
      </c>
      <c r="J29" s="3" t="n">
        <v>6.6</v>
      </c>
      <c r="K29" s="3" t="n">
        <v>5134</v>
      </c>
      <c r="L29" s="3" t="n">
        <v>597</v>
      </c>
    </row>
    <row r="30" customFormat="false" ht="15" hidden="false" customHeight="false" outlineLevel="0" collapsed="false">
      <c r="A30" s="3" t="n">
        <v>54</v>
      </c>
      <c r="B30" s="3" t="s">
        <v>46</v>
      </c>
      <c r="C30" s="3" t="s">
        <v>43</v>
      </c>
      <c r="D30" s="3" t="n">
        <v>120.2</v>
      </c>
      <c r="E30" s="3" t="n">
        <v>136.3</v>
      </c>
      <c r="F30" s="3" t="n">
        <v>-10.6</v>
      </c>
      <c r="G30" s="3" t="n">
        <v>124.7</v>
      </c>
      <c r="H30" s="3" t="n">
        <v>160</v>
      </c>
      <c r="I30" s="3" t="n">
        <v>1.28</v>
      </c>
      <c r="J30" s="3" t="n">
        <v>-11.5</v>
      </c>
      <c r="K30" s="3" t="n">
        <v>5179</v>
      </c>
      <c r="L30" s="3" t="n">
        <v>-1050</v>
      </c>
    </row>
    <row r="31" customFormat="false" ht="15" hidden="false" customHeight="false" outlineLevel="0" collapsed="false">
      <c r="A31" s="3" t="n">
        <v>55</v>
      </c>
      <c r="B31" s="3" t="s">
        <v>47</v>
      </c>
      <c r="C31" s="3" t="s">
        <v>43</v>
      </c>
      <c r="D31" s="3" t="n">
        <v>126</v>
      </c>
      <c r="E31" s="3" t="n">
        <v>135.5</v>
      </c>
      <c r="F31" s="3" t="n">
        <v>5.6</v>
      </c>
      <c r="G31" s="3" t="n">
        <v>128.7</v>
      </c>
      <c r="H31" s="3" t="n">
        <v>163.5</v>
      </c>
      <c r="I31" s="3" t="n">
        <v>1.27</v>
      </c>
      <c r="J31" s="3" t="n">
        <v>0.9</v>
      </c>
      <c r="K31" s="3" t="n">
        <v>6627</v>
      </c>
      <c r="L31" s="3" t="n">
        <v>107</v>
      </c>
    </row>
    <row r="32" customFormat="false" ht="15" hidden="false" customHeight="false" outlineLevel="0" collapsed="false">
      <c r="A32" s="3" t="n">
        <v>56</v>
      </c>
      <c r="B32" s="3" t="s">
        <v>48</v>
      </c>
      <c r="C32" s="3" t="s">
        <v>49</v>
      </c>
      <c r="D32" s="3" t="n">
        <v>137</v>
      </c>
      <c r="E32" s="3" t="n">
        <v>152.2</v>
      </c>
      <c r="F32" s="3" t="n">
        <v>-2.5</v>
      </c>
      <c r="G32" s="3" t="n">
        <v>129.2</v>
      </c>
      <c r="H32" s="3" t="n">
        <v>168.7</v>
      </c>
      <c r="I32" s="3" t="n">
        <v>1.31</v>
      </c>
      <c r="J32" s="3" t="n">
        <v>-10.4</v>
      </c>
      <c r="K32" s="3" t="n">
        <v>4624</v>
      </c>
      <c r="L32" s="3" t="n">
        <v>-846</v>
      </c>
    </row>
    <row r="33" customFormat="false" ht="15" hidden="false" customHeight="false" outlineLevel="0" collapsed="false">
      <c r="A33" s="3" t="n">
        <v>57</v>
      </c>
      <c r="B33" s="3" t="s">
        <v>50</v>
      </c>
      <c r="C33" s="3" t="s">
        <v>49</v>
      </c>
      <c r="D33" s="3" t="n">
        <v>146.4</v>
      </c>
      <c r="E33" s="3" t="n">
        <v>158.2</v>
      </c>
      <c r="F33" s="3" t="n">
        <v>23.1</v>
      </c>
      <c r="G33" s="3" t="n">
        <v>131.2</v>
      </c>
      <c r="H33" s="3" t="n">
        <v>180.4</v>
      </c>
      <c r="I33" s="3" t="n">
        <v>1.37</v>
      </c>
      <c r="J33" s="3" t="n">
        <v>5.5</v>
      </c>
      <c r="K33" s="3" t="n">
        <v>5637</v>
      </c>
      <c r="L33" s="3" t="n">
        <v>547</v>
      </c>
    </row>
    <row r="34" customFormat="false" ht="15" hidden="false" customHeight="false" outlineLevel="0" collapsed="false">
      <c r="A34" s="3" t="n">
        <v>58</v>
      </c>
      <c r="B34" s="3" t="s">
        <v>51</v>
      </c>
      <c r="C34" s="3" t="s">
        <v>49</v>
      </c>
      <c r="D34" s="3" t="n">
        <v>141.5</v>
      </c>
      <c r="E34" s="3" t="n">
        <v>160.1</v>
      </c>
      <c r="F34" s="3" t="n">
        <v>-15.6</v>
      </c>
      <c r="G34" s="3" t="n">
        <v>130.1</v>
      </c>
      <c r="H34" s="3" t="n">
        <v>171.4</v>
      </c>
      <c r="I34" s="3" t="n">
        <v>1.32</v>
      </c>
      <c r="J34" s="3" t="n">
        <v>-12.5</v>
      </c>
      <c r="K34" s="3" t="n">
        <v>3613</v>
      </c>
      <c r="L34" s="3" t="n">
        <v>-800</v>
      </c>
    </row>
    <row r="35" customFormat="false" ht="15" hidden="false" customHeight="false" outlineLevel="0" collapsed="false">
      <c r="A35" s="3" t="n">
        <v>60</v>
      </c>
      <c r="B35" s="3" t="s">
        <v>52</v>
      </c>
      <c r="C35" s="3" t="s">
        <v>49</v>
      </c>
      <c r="D35" s="3" t="n">
        <v>138.2</v>
      </c>
      <c r="E35" s="3" t="n">
        <v>153.2</v>
      </c>
      <c r="F35" s="3" t="n">
        <v>5</v>
      </c>
      <c r="G35" s="3" t="n">
        <v>130</v>
      </c>
      <c r="H35" s="3" t="n">
        <v>171.5</v>
      </c>
      <c r="I35" s="3" t="n">
        <v>1.32</v>
      </c>
      <c r="J35" s="3" t="n">
        <v>0.1</v>
      </c>
      <c r="K35" s="3" t="n">
        <v>5071</v>
      </c>
      <c r="L35" s="3" t="n">
        <v>11</v>
      </c>
    </row>
    <row r="36" customFormat="false" ht="15" hidden="false" customHeight="false" outlineLevel="0" collapsed="false">
      <c r="A36" s="3" t="n">
        <v>61</v>
      </c>
      <c r="B36" s="3" t="s">
        <v>53</v>
      </c>
      <c r="C36" s="3" t="s">
        <v>49</v>
      </c>
      <c r="D36" s="3" t="n">
        <v>134.1</v>
      </c>
      <c r="E36" s="3" t="n">
        <v>147.1</v>
      </c>
      <c r="F36" s="3" t="n">
        <v>32.2</v>
      </c>
      <c r="G36" s="3" t="n">
        <v>124.2</v>
      </c>
      <c r="H36" s="3" t="n">
        <v>166.6</v>
      </c>
      <c r="I36" s="3" t="n">
        <v>1.34</v>
      </c>
      <c r="J36" s="3" t="n">
        <v>13.3</v>
      </c>
      <c r="K36" s="3" t="n">
        <v>4804</v>
      </c>
      <c r="L36" s="3" t="n">
        <v>1135</v>
      </c>
    </row>
    <row r="37" customFormat="false" ht="15" hidden="false" customHeight="false" outlineLevel="0" collapsed="false">
      <c r="A37" s="3" t="n">
        <v>63</v>
      </c>
      <c r="B37" s="3" t="s">
        <v>54</v>
      </c>
      <c r="C37" s="3" t="s">
        <v>55</v>
      </c>
      <c r="D37" s="3" t="n">
        <v>152.1</v>
      </c>
      <c r="E37" s="3" t="n">
        <v>166.6</v>
      </c>
      <c r="F37" s="3" t="n">
        <v>11.6</v>
      </c>
      <c r="G37" s="3" t="n">
        <v>131.3</v>
      </c>
      <c r="H37" s="3" t="n">
        <v>182.8</v>
      </c>
      <c r="I37" s="3" t="n">
        <v>1.39</v>
      </c>
      <c r="J37" s="3" t="n">
        <v>1.2</v>
      </c>
      <c r="K37" s="3" t="n">
        <v>4820</v>
      </c>
      <c r="L37" s="3" t="n">
        <v>103</v>
      </c>
    </row>
    <row r="38" customFormat="false" ht="15" hidden="false" customHeight="false" outlineLevel="0" collapsed="false">
      <c r="A38" s="3" t="n">
        <v>64</v>
      </c>
      <c r="B38" s="3" t="s">
        <v>56</v>
      </c>
      <c r="C38" s="3" t="s">
        <v>55</v>
      </c>
      <c r="D38" s="3" t="n">
        <v>144.4</v>
      </c>
      <c r="E38" s="3" t="n">
        <v>162.6</v>
      </c>
      <c r="F38" s="3" t="n">
        <v>-17.3</v>
      </c>
      <c r="G38" s="3" t="n">
        <v>127.9</v>
      </c>
      <c r="H38" s="3" t="n">
        <v>178.8</v>
      </c>
      <c r="I38" s="3" t="n">
        <v>1.4</v>
      </c>
      <c r="J38" s="3" t="n">
        <v>-17</v>
      </c>
      <c r="K38" s="3" t="n">
        <v>4339</v>
      </c>
      <c r="L38" s="3" t="n">
        <v>-1326</v>
      </c>
    </row>
    <row r="39" customFormat="false" ht="15" hidden="false" customHeight="false" outlineLevel="0" collapsed="false">
      <c r="A39" s="3" t="n">
        <v>65</v>
      </c>
      <c r="B39" s="3" t="s">
        <v>57</v>
      </c>
      <c r="C39" s="3" t="s">
        <v>55</v>
      </c>
      <c r="D39" s="3" t="n">
        <v>155</v>
      </c>
      <c r="E39" s="3" t="n">
        <v>174.9</v>
      </c>
      <c r="F39" s="3" t="n">
        <v>-23.7</v>
      </c>
      <c r="G39" s="3" t="n">
        <v>129</v>
      </c>
      <c r="H39" s="3" t="n">
        <v>185.7</v>
      </c>
      <c r="I39" s="3" t="n">
        <v>1.44</v>
      </c>
      <c r="J39" s="3" t="n">
        <v>-20.4</v>
      </c>
      <c r="K39" s="3" t="n">
        <v>3657</v>
      </c>
      <c r="L39" s="3" t="n">
        <v>-1357</v>
      </c>
    </row>
    <row r="40" customFormat="false" ht="15" hidden="false" customHeight="false" outlineLevel="0" collapsed="false">
      <c r="A40" s="3" t="n">
        <v>66</v>
      </c>
      <c r="B40" s="3" t="s">
        <v>58</v>
      </c>
      <c r="C40" s="3" t="s">
        <v>55</v>
      </c>
      <c r="D40" s="3" t="n">
        <v>141.5</v>
      </c>
      <c r="E40" s="3" t="n">
        <v>158.3</v>
      </c>
      <c r="F40" s="3" t="n">
        <v>1.2</v>
      </c>
      <c r="G40" s="3" t="n">
        <v>131</v>
      </c>
      <c r="H40" s="3" t="n">
        <v>173.7</v>
      </c>
      <c r="I40" s="3" t="n">
        <v>1.33</v>
      </c>
      <c r="J40" s="3" t="n">
        <v>-0.6</v>
      </c>
      <c r="K40" s="3" t="n">
        <v>4550</v>
      </c>
      <c r="L40" s="3" t="n">
        <v>-45</v>
      </c>
    </row>
    <row r="41" customFormat="false" ht="15" hidden="false" customHeight="false" outlineLevel="0" collapsed="false">
      <c r="A41" s="3" t="n">
        <v>69</v>
      </c>
      <c r="B41" s="3" t="s">
        <v>59</v>
      </c>
      <c r="C41" s="3" t="s">
        <v>55</v>
      </c>
      <c r="D41" s="3" t="n">
        <v>152.4</v>
      </c>
      <c r="E41" s="3" t="n">
        <v>169.9</v>
      </c>
      <c r="F41" s="3" t="n">
        <v>-9.3</v>
      </c>
      <c r="G41" s="3" t="n">
        <v>129.3</v>
      </c>
      <c r="H41" s="3" t="n">
        <v>181.4</v>
      </c>
      <c r="I41" s="3" t="n">
        <v>1.4</v>
      </c>
      <c r="J41" s="3" t="n">
        <v>-10.9</v>
      </c>
      <c r="K41" s="3" t="n">
        <v>3862</v>
      </c>
      <c r="L41" s="3" t="n">
        <v>-745</v>
      </c>
    </row>
    <row r="42" customFormat="false" ht="15" hidden="false" customHeight="false" outlineLevel="0" collapsed="false">
      <c r="A42" s="3" t="n">
        <v>70</v>
      </c>
      <c r="B42" s="3" t="s">
        <v>60</v>
      </c>
      <c r="C42" s="3" t="s">
        <v>61</v>
      </c>
      <c r="D42" s="3" t="n">
        <v>151</v>
      </c>
      <c r="E42" s="3" t="n">
        <v>165.3</v>
      </c>
      <c r="F42" s="3" t="n">
        <v>22.6</v>
      </c>
      <c r="G42" s="3" t="n">
        <v>132.7</v>
      </c>
      <c r="H42" s="3" t="n">
        <v>182.3</v>
      </c>
      <c r="I42" s="3" t="n">
        <v>1.37</v>
      </c>
      <c r="J42" s="3" t="n">
        <v>6.3</v>
      </c>
      <c r="K42" s="3" t="n">
        <v>4900</v>
      </c>
      <c r="L42" s="3" t="n">
        <v>543</v>
      </c>
    </row>
    <row r="43" customFormat="false" ht="15" hidden="false" customHeight="false" outlineLevel="0" collapsed="false">
      <c r="A43" s="3" t="n">
        <v>71</v>
      </c>
      <c r="B43" s="3" t="s">
        <v>62</v>
      </c>
      <c r="C43" s="3" t="s">
        <v>61</v>
      </c>
      <c r="D43" s="3" t="n">
        <v>155.2</v>
      </c>
      <c r="E43" s="3" t="n">
        <v>173.9</v>
      </c>
      <c r="F43" s="3" t="n">
        <v>-15.7</v>
      </c>
      <c r="G43" s="3" t="n">
        <v>132.5</v>
      </c>
      <c r="H43" s="3" t="n">
        <v>186.7</v>
      </c>
      <c r="I43" s="3" t="n">
        <v>1.41</v>
      </c>
      <c r="J43" s="3" t="n">
        <v>-14.6</v>
      </c>
      <c r="K43" s="3" t="n">
        <v>3879</v>
      </c>
      <c r="L43" s="3" t="n">
        <v>-1007</v>
      </c>
    </row>
    <row r="44" customFormat="false" ht="15" hidden="false" customHeight="false" outlineLevel="0" collapsed="false">
      <c r="A44" s="3" t="n">
        <v>72</v>
      </c>
      <c r="B44" s="3" t="s">
        <v>63</v>
      </c>
      <c r="C44" s="3" t="s">
        <v>61</v>
      </c>
      <c r="D44" s="3" t="n">
        <v>159.8</v>
      </c>
      <c r="E44" s="3" t="n">
        <v>174.9</v>
      </c>
      <c r="F44" s="3" t="n">
        <v>26.5</v>
      </c>
      <c r="G44" s="3" t="n">
        <v>134.5</v>
      </c>
      <c r="H44" s="3" t="n">
        <v>189</v>
      </c>
      <c r="I44" s="3" t="n">
        <v>1.41</v>
      </c>
      <c r="J44" s="3" t="n">
        <v>5.6</v>
      </c>
      <c r="K44" s="3" t="n">
        <v>4476</v>
      </c>
      <c r="L44" s="3" t="n">
        <v>439</v>
      </c>
    </row>
    <row r="45" customFormat="false" ht="15" hidden="false" customHeight="false" outlineLevel="0" collapsed="false">
      <c r="A45" s="3" t="n">
        <v>73</v>
      </c>
      <c r="B45" s="3" t="s">
        <v>64</v>
      </c>
      <c r="C45" s="3" t="s">
        <v>61</v>
      </c>
      <c r="D45" s="3" t="n">
        <v>147.3</v>
      </c>
      <c r="E45" s="3" t="n">
        <v>172.1</v>
      </c>
      <c r="F45" s="3" t="n">
        <v>-23</v>
      </c>
      <c r="G45" s="3" t="n">
        <v>130.1</v>
      </c>
      <c r="H45" s="3" t="n">
        <v>182.9</v>
      </c>
      <c r="I45" s="3" t="n">
        <v>1.41</v>
      </c>
      <c r="J45" s="3" t="n">
        <v>-30.1</v>
      </c>
      <c r="K45" s="3" t="n">
        <v>2795</v>
      </c>
      <c r="L45" s="3" t="n">
        <v>-1618</v>
      </c>
    </row>
    <row r="46" customFormat="false" ht="15" hidden="false" customHeight="false" outlineLevel="0" collapsed="false">
      <c r="A46" s="3" t="n">
        <v>75</v>
      </c>
      <c r="B46" s="3" t="s">
        <v>65</v>
      </c>
      <c r="C46" s="3" t="s">
        <v>66</v>
      </c>
      <c r="D46" s="3" t="n">
        <v>173.9</v>
      </c>
      <c r="E46" s="3" t="n">
        <v>199</v>
      </c>
      <c r="F46" s="3" t="n">
        <v>-6.3</v>
      </c>
      <c r="G46" s="3" t="n">
        <v>139.2</v>
      </c>
      <c r="H46" s="3" t="n">
        <v>197</v>
      </c>
      <c r="I46" s="3" t="n">
        <v>1.42</v>
      </c>
      <c r="J46" s="3" t="n">
        <v>-9</v>
      </c>
      <c r="K46" s="3" t="n">
        <v>2544</v>
      </c>
      <c r="L46" s="3" t="n">
        <v>-403</v>
      </c>
    </row>
    <row r="47" customFormat="false" ht="15" hidden="false" customHeight="false" outlineLevel="0" collapsed="false">
      <c r="A47" s="3" t="n">
        <v>76</v>
      </c>
      <c r="B47" s="3" t="s">
        <v>67</v>
      </c>
      <c r="C47" s="3" t="s">
        <v>66</v>
      </c>
      <c r="D47" s="3" t="n">
        <v>156.2</v>
      </c>
      <c r="E47" s="3" t="n">
        <v>174.6</v>
      </c>
      <c r="F47" s="3" t="n">
        <v>30</v>
      </c>
      <c r="G47" s="3" t="n">
        <v>139.7</v>
      </c>
      <c r="H47" s="3" t="n">
        <v>187.3</v>
      </c>
      <c r="I47" s="3" t="n">
        <v>1.34</v>
      </c>
      <c r="J47" s="3" t="n">
        <v>11.9</v>
      </c>
      <c r="K47" s="3" t="n">
        <v>4264</v>
      </c>
      <c r="L47" s="3" t="n">
        <v>899</v>
      </c>
    </row>
    <row r="48" customFormat="false" ht="15" hidden="false" customHeight="false" outlineLevel="0" collapsed="false">
      <c r="A48" s="3" t="n">
        <v>78</v>
      </c>
      <c r="B48" s="3" t="s">
        <v>68</v>
      </c>
      <c r="C48" s="3" t="s">
        <v>66</v>
      </c>
      <c r="D48" s="3" t="n">
        <v>180.4</v>
      </c>
      <c r="E48" s="3" t="n">
        <v>201.6</v>
      </c>
      <c r="F48" s="3" t="n">
        <v>14.6</v>
      </c>
      <c r="G48" s="3" t="n">
        <v>142</v>
      </c>
      <c r="H48" s="3" t="n">
        <v>203.6</v>
      </c>
      <c r="I48" s="3" t="n">
        <v>1.43</v>
      </c>
      <c r="J48" s="3" t="n">
        <v>4.4</v>
      </c>
      <c r="K48" s="3" t="n">
        <v>3295</v>
      </c>
      <c r="L48" s="3" t="n">
        <v>251</v>
      </c>
    </row>
    <row r="49" customFormat="false" ht="15" hidden="false" customHeight="false" outlineLevel="0" collapsed="false">
      <c r="A49" s="3" t="n">
        <v>79</v>
      </c>
      <c r="B49" s="3" t="s">
        <v>69</v>
      </c>
      <c r="C49" s="3" t="s">
        <v>66</v>
      </c>
      <c r="D49" s="3" t="n">
        <v>173.8</v>
      </c>
      <c r="E49" s="3" t="n">
        <v>189.7</v>
      </c>
      <c r="F49" s="3" t="n">
        <v>36.1</v>
      </c>
      <c r="G49" s="3" t="n">
        <v>143.4</v>
      </c>
      <c r="H49" s="3" t="n">
        <v>202.8</v>
      </c>
      <c r="I49" s="3" t="n">
        <v>1.41</v>
      </c>
      <c r="J49" s="3" t="n">
        <v>12.5</v>
      </c>
      <c r="K49" s="3" t="n">
        <v>4474</v>
      </c>
      <c r="L49" s="3" t="n">
        <v>992</v>
      </c>
    </row>
    <row r="50" customFormat="false" ht="15" hidden="false" customHeight="false" outlineLevel="0" collapsed="false">
      <c r="A50" s="3" t="n">
        <v>80</v>
      </c>
      <c r="B50" s="3" t="s">
        <v>70</v>
      </c>
      <c r="C50" s="3" t="s">
        <v>66</v>
      </c>
      <c r="D50" s="3" t="n">
        <v>166.1</v>
      </c>
      <c r="E50" s="3" t="n">
        <v>186</v>
      </c>
      <c r="F50" s="3" t="n">
        <v>-4.9</v>
      </c>
      <c r="G50" s="3" t="n">
        <v>143</v>
      </c>
      <c r="H50" s="3" t="n">
        <v>196.3</v>
      </c>
      <c r="I50" s="3" t="n">
        <v>1.37</v>
      </c>
      <c r="J50" s="3" t="n">
        <v>-4.3</v>
      </c>
      <c r="K50" s="3" t="n">
        <v>4049</v>
      </c>
      <c r="L50" s="3" t="n">
        <v>-306</v>
      </c>
    </row>
    <row r="51" customFormat="false" ht="15" hidden="false" customHeight="false" outlineLevel="0" collapsed="false">
      <c r="A51" s="4" t="n">
        <v>81</v>
      </c>
      <c r="B51" s="4" t="s">
        <v>71</v>
      </c>
      <c r="C51" s="4" t="s">
        <v>72</v>
      </c>
      <c r="D51" s="4" t="n">
        <v>173.5</v>
      </c>
      <c r="E51" s="4" t="n">
        <v>190.9</v>
      </c>
      <c r="F51" s="4" t="n">
        <v>18.8</v>
      </c>
      <c r="G51" s="4" t="n">
        <v>146.6</v>
      </c>
      <c r="H51" s="4" t="n">
        <v>205.5</v>
      </c>
      <c r="I51" s="4" t="n">
        <v>1.4</v>
      </c>
      <c r="J51" s="4" t="n">
        <v>6.9</v>
      </c>
      <c r="K51" s="4" t="n">
        <v>4865</v>
      </c>
      <c r="L51" s="4" t="n">
        <v>586</v>
      </c>
    </row>
    <row r="52" customFormat="false" ht="15" hidden="false" customHeight="false" outlineLevel="0" collapsed="false">
      <c r="A52" s="4" t="n">
        <v>82</v>
      </c>
      <c r="B52" s="4" t="s">
        <v>73</v>
      </c>
      <c r="C52" s="4" t="s">
        <v>72</v>
      </c>
      <c r="D52" s="4" t="n">
        <v>183.1</v>
      </c>
      <c r="E52" s="4" t="n">
        <v>201.8</v>
      </c>
      <c r="F52" s="4" t="n">
        <v>-20.2</v>
      </c>
      <c r="G52" s="4" t="n">
        <v>146.3</v>
      </c>
      <c r="H52" s="4" t="n">
        <v>208.6</v>
      </c>
      <c r="I52" s="4" t="n">
        <v>1.43</v>
      </c>
      <c r="J52" s="4" t="n">
        <v>-16.7</v>
      </c>
      <c r="K52" s="4" t="n">
        <v>3593</v>
      </c>
      <c r="L52" s="4" t="n">
        <v>-1081</v>
      </c>
    </row>
    <row r="53" customFormat="false" ht="15" hidden="false" customHeight="false" outlineLevel="0" collapsed="false">
      <c r="A53" s="4" t="n">
        <v>83</v>
      </c>
      <c r="B53" s="4" t="s">
        <v>74</v>
      </c>
      <c r="C53" s="4" t="s">
        <v>72</v>
      </c>
      <c r="D53" s="4" t="n">
        <v>175.2</v>
      </c>
      <c r="E53" s="4" t="n">
        <v>198.7</v>
      </c>
      <c r="F53" s="4" t="n">
        <v>-33.3</v>
      </c>
      <c r="G53" s="4" t="n">
        <v>144.6</v>
      </c>
      <c r="H53" s="4" t="n">
        <v>204.4</v>
      </c>
      <c r="I53" s="4" t="n">
        <v>1.41</v>
      </c>
      <c r="J53" s="4" t="n">
        <v>-27.9</v>
      </c>
      <c r="K53" s="4" t="n">
        <v>3024</v>
      </c>
      <c r="L53" s="4" t="n">
        <v>-1603</v>
      </c>
    </row>
    <row r="54" customFormat="false" ht="15" hidden="false" customHeight="false" outlineLevel="0" collapsed="false">
      <c r="A54" s="4" t="n">
        <v>84</v>
      </c>
      <c r="B54" s="4" t="s">
        <v>75</v>
      </c>
      <c r="C54" s="4" t="s">
        <v>72</v>
      </c>
      <c r="D54" s="4" t="n">
        <v>170</v>
      </c>
      <c r="E54" s="4" t="n">
        <v>183.5</v>
      </c>
      <c r="F54" s="4" t="n">
        <v>19.4</v>
      </c>
      <c r="G54" s="4" t="n">
        <v>147.2</v>
      </c>
      <c r="H54" s="4" t="n">
        <v>202.1</v>
      </c>
      <c r="I54" s="4" t="n">
        <v>1.37</v>
      </c>
      <c r="J54" s="4" t="n">
        <v>6.6</v>
      </c>
      <c r="K54" s="4" t="n">
        <v>5380</v>
      </c>
      <c r="L54" s="4" t="n">
        <v>618</v>
      </c>
    </row>
    <row r="55" customFormat="false" ht="15" hidden="false" customHeight="false" outlineLevel="0" collapsed="false">
      <c r="A55" s="4" t="n">
        <v>85</v>
      </c>
      <c r="B55" s="4" t="s">
        <v>76</v>
      </c>
      <c r="C55" s="4" t="s">
        <v>72</v>
      </c>
      <c r="D55" s="4" t="n">
        <v>173</v>
      </c>
      <c r="E55" s="4" t="n">
        <v>188.3</v>
      </c>
      <c r="F55" s="4" t="n">
        <v>25.8</v>
      </c>
      <c r="G55" s="4" t="n">
        <v>152.3</v>
      </c>
      <c r="H55" s="4" t="n">
        <v>205.5</v>
      </c>
      <c r="I55" s="4" t="n">
        <v>1.35</v>
      </c>
      <c r="J55" s="4" t="n">
        <v>12.5</v>
      </c>
      <c r="K55" s="4" t="n">
        <v>5062</v>
      </c>
      <c r="L55" s="4" t="n">
        <v>1120</v>
      </c>
    </row>
    <row r="56" customFormat="false" ht="15" hidden="false" customHeight="false" outlineLevel="0" collapsed="false">
      <c r="A56" s="4" t="n">
        <v>86</v>
      </c>
      <c r="B56" s="4" t="s">
        <v>77</v>
      </c>
      <c r="C56" s="4" t="s">
        <v>72</v>
      </c>
      <c r="D56" s="4" t="n">
        <v>165.7</v>
      </c>
      <c r="E56" s="4" t="n">
        <v>180.5</v>
      </c>
      <c r="F56" s="4" t="n">
        <v>17.2</v>
      </c>
      <c r="G56" s="4" t="n">
        <v>145.4</v>
      </c>
      <c r="H56" s="4" t="n">
        <v>195.7</v>
      </c>
      <c r="I56" s="4" t="n">
        <v>1.35</v>
      </c>
      <c r="J56" s="4" t="n">
        <v>7.7</v>
      </c>
      <c r="K56" s="4" t="n">
        <v>4768</v>
      </c>
      <c r="L56" s="4" t="n">
        <v>644</v>
      </c>
    </row>
    <row r="57" customFormat="false" ht="15" hidden="false" customHeight="false" outlineLevel="0" collapsed="false">
      <c r="A57" s="4" t="n">
        <v>89</v>
      </c>
      <c r="B57" s="4" t="s">
        <v>78</v>
      </c>
      <c r="C57" s="4" t="s">
        <v>79</v>
      </c>
      <c r="D57" s="4" t="n">
        <v>165.1</v>
      </c>
      <c r="E57" s="4" t="n">
        <v>192.4</v>
      </c>
      <c r="F57" s="4" t="n">
        <v>-5</v>
      </c>
      <c r="G57" s="4" t="n">
        <v>147.1</v>
      </c>
      <c r="H57" s="4" t="n">
        <v>203.1</v>
      </c>
      <c r="I57" s="4" t="n">
        <v>1.38</v>
      </c>
      <c r="J57" s="4" t="n">
        <v>1.6</v>
      </c>
      <c r="K57" s="4" t="n">
        <v>2993</v>
      </c>
      <c r="L57" s="4" t="n">
        <v>84</v>
      </c>
    </row>
    <row r="58" customFormat="false" ht="15" hidden="false" customHeight="false" outlineLevel="0" collapsed="false">
      <c r="A58" s="4" t="n">
        <v>90</v>
      </c>
      <c r="B58" s="4" t="s">
        <v>80</v>
      </c>
      <c r="C58" s="4" t="s">
        <v>79</v>
      </c>
      <c r="D58" s="4" t="n">
        <v>184.7</v>
      </c>
      <c r="E58" s="4" t="n">
        <v>208.6</v>
      </c>
      <c r="F58" s="4" t="n">
        <v>11.1</v>
      </c>
      <c r="G58" s="4" t="n">
        <v>149.1</v>
      </c>
      <c r="H58" s="4" t="n">
        <v>212.5</v>
      </c>
      <c r="I58" s="4" t="n">
        <v>1.43</v>
      </c>
      <c r="J58" s="4" t="n">
        <v>3</v>
      </c>
      <c r="K58" s="4" t="n">
        <v>3416</v>
      </c>
      <c r="L58" s="4" t="n">
        <v>178</v>
      </c>
    </row>
    <row r="59" customFormat="false" ht="15" hidden="false" customHeight="false" outlineLevel="0" collapsed="false">
      <c r="A59" s="4" t="n">
        <v>91</v>
      </c>
      <c r="B59" s="4" t="s">
        <v>81</v>
      </c>
      <c r="C59" s="4" t="s">
        <v>79</v>
      </c>
      <c r="D59" s="4" t="n">
        <v>187.6</v>
      </c>
      <c r="E59" s="4" t="n">
        <v>206.4</v>
      </c>
      <c r="F59" s="4" t="n">
        <v>31.6</v>
      </c>
      <c r="G59" s="4" t="n">
        <v>153.3</v>
      </c>
      <c r="H59" s="4" t="n">
        <v>215.1</v>
      </c>
      <c r="I59" s="4" t="n">
        <v>1.4</v>
      </c>
      <c r="J59" s="4" t="n">
        <v>14.2</v>
      </c>
      <c r="K59" s="4" t="n">
        <v>4019</v>
      </c>
      <c r="L59" s="4" t="n">
        <v>1019</v>
      </c>
    </row>
    <row r="60" customFormat="false" ht="15" hidden="false" customHeight="false" outlineLevel="0" collapsed="false">
      <c r="A60" s="4" t="n">
        <v>93</v>
      </c>
      <c r="B60" s="4" t="s">
        <v>82</v>
      </c>
      <c r="C60" s="4" t="s">
        <v>79</v>
      </c>
      <c r="D60" s="4" t="n">
        <v>132.5</v>
      </c>
      <c r="E60" s="4" t="n">
        <v>177.5</v>
      </c>
      <c r="F60" s="4" t="n">
        <v>12.9</v>
      </c>
      <c r="G60" s="4" t="n">
        <v>148.8</v>
      </c>
      <c r="H60" s="4" t="n">
        <v>217.3</v>
      </c>
      <c r="I60" s="4" t="n">
        <v>1.46</v>
      </c>
      <c r="J60" s="4" t="n">
        <v>8.4</v>
      </c>
      <c r="K60" s="4" t="n">
        <v>2024</v>
      </c>
      <c r="L60" s="4" t="n">
        <v>297</v>
      </c>
    </row>
    <row r="61" customFormat="false" ht="15" hidden="false" customHeight="false" outlineLevel="0" collapsed="false">
      <c r="A61" s="4" t="n">
        <v>94</v>
      </c>
      <c r="B61" s="4" t="s">
        <v>83</v>
      </c>
      <c r="C61" s="4" t="s">
        <v>79</v>
      </c>
      <c r="D61" s="4" t="n">
        <v>196.1</v>
      </c>
      <c r="E61" s="4" t="n">
        <v>220.1</v>
      </c>
      <c r="F61" s="4" t="n">
        <v>6.8</v>
      </c>
      <c r="G61" s="4" t="n">
        <v>154.1</v>
      </c>
      <c r="H61" s="4" t="n">
        <v>219.2</v>
      </c>
      <c r="I61" s="4" t="n">
        <v>1.42</v>
      </c>
      <c r="J61" s="4" t="n">
        <v>-5.2</v>
      </c>
      <c r="K61" s="4" t="n">
        <v>3145</v>
      </c>
      <c r="L61" s="4" t="n">
        <v>-287</v>
      </c>
    </row>
    <row r="62" customFormat="false" ht="15" hidden="false" customHeight="false" outlineLevel="0" collapsed="false">
      <c r="A62" s="4" t="n">
        <v>95</v>
      </c>
      <c r="B62" s="4" t="s">
        <v>84</v>
      </c>
      <c r="C62" s="4" t="s">
        <v>85</v>
      </c>
      <c r="D62" s="4" t="n">
        <v>128.2</v>
      </c>
      <c r="E62" s="4" t="n">
        <v>170.4</v>
      </c>
      <c r="F62" s="4" t="n">
        <v>9.6</v>
      </c>
      <c r="G62" s="4" t="n">
        <v>148.5</v>
      </c>
      <c r="H62" s="4" t="n">
        <v>206.5</v>
      </c>
      <c r="I62" s="4" t="n">
        <v>1.39</v>
      </c>
      <c r="J62" s="4" t="n">
        <v>7.6</v>
      </c>
      <c r="K62" s="4" t="n">
        <v>2144</v>
      </c>
      <c r="L62" s="4" t="n">
        <v>285</v>
      </c>
    </row>
    <row r="63" customFormat="false" ht="15" hidden="false" customHeight="false" outlineLevel="0" collapsed="false">
      <c r="A63" s="4" t="n">
        <v>96</v>
      </c>
      <c r="B63" s="4" t="s">
        <v>86</v>
      </c>
      <c r="C63" s="4" t="s">
        <v>85</v>
      </c>
      <c r="D63" s="4" t="n">
        <v>171.8</v>
      </c>
      <c r="E63" s="4" t="n">
        <v>206.1</v>
      </c>
      <c r="F63" s="4" t="n">
        <v>8.1</v>
      </c>
      <c r="G63" s="4" t="n">
        <v>145</v>
      </c>
      <c r="H63" s="4" t="n">
        <v>216.7</v>
      </c>
      <c r="I63" s="4" t="n">
        <v>1.49</v>
      </c>
      <c r="J63" s="4" t="n">
        <v>-3.5</v>
      </c>
      <c r="K63" s="4" t="n">
        <v>1652</v>
      </c>
      <c r="L63" s="4" t="n">
        <v>-100</v>
      </c>
    </row>
    <row r="64" customFormat="false" ht="15" hidden="false" customHeight="false" outlineLevel="0" collapsed="false">
      <c r="A64" s="4" t="n">
        <v>97</v>
      </c>
      <c r="B64" s="4" t="s">
        <v>87</v>
      </c>
      <c r="C64" s="4" t="s">
        <v>85</v>
      </c>
      <c r="D64" s="4" t="n">
        <v>193.7</v>
      </c>
      <c r="E64" s="4" t="n">
        <v>224.7</v>
      </c>
      <c r="F64" s="4" t="n">
        <v>5.1</v>
      </c>
      <c r="G64" s="4" t="n">
        <v>153.9</v>
      </c>
      <c r="H64" s="4" t="n">
        <v>224.7</v>
      </c>
      <c r="I64" s="4" t="n">
        <v>1.46</v>
      </c>
      <c r="J64" s="4" t="n">
        <v>-4.1</v>
      </c>
      <c r="K64" s="4" t="n">
        <v>1786</v>
      </c>
      <c r="L64" s="4" t="n">
        <v>-127</v>
      </c>
    </row>
    <row r="65" customFormat="false" ht="15" hidden="false" customHeight="false" outlineLevel="0" collapsed="false">
      <c r="A65" s="4" t="n">
        <v>99</v>
      </c>
      <c r="B65" s="4" t="s">
        <v>88</v>
      </c>
      <c r="C65" s="4" t="s">
        <v>85</v>
      </c>
      <c r="D65" s="4" t="n">
        <v>157.8</v>
      </c>
      <c r="E65" s="4" t="n">
        <v>188.4</v>
      </c>
      <c r="F65" s="4" t="n">
        <v>22.3</v>
      </c>
      <c r="G65" s="4" t="n">
        <v>150.7</v>
      </c>
      <c r="H65" s="4" t="n">
        <v>210.7</v>
      </c>
      <c r="I65" s="4" t="n">
        <v>1.4</v>
      </c>
      <c r="J65" s="4" t="n">
        <v>22.8</v>
      </c>
      <c r="K65" s="4" t="n">
        <v>2915</v>
      </c>
      <c r="L65" s="4" t="n">
        <v>1224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6" min="5" style="0" width="9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0" style="0" width="13"/>
  </cols>
  <sheetData>
    <row r="1" customFormat="false" ht="26.85" hidden="false" customHeight="false" outlineLevel="0" collapsed="false">
      <c r="A1" s="5" t="s">
        <v>2</v>
      </c>
      <c r="B1" s="5" t="s">
        <v>89</v>
      </c>
      <c r="C1" s="5" t="s">
        <v>90</v>
      </c>
      <c r="D1" s="5" t="s">
        <v>91</v>
      </c>
      <c r="E1" s="5" t="s">
        <v>92</v>
      </c>
      <c r="F1" s="5" t="s">
        <v>93</v>
      </c>
      <c r="G1" s="5" t="s">
        <v>94</v>
      </c>
      <c r="H1" s="5" t="s">
        <v>95</v>
      </c>
      <c r="I1" s="5" t="s">
        <v>96</v>
      </c>
      <c r="J1" s="5" t="s">
        <v>97</v>
      </c>
      <c r="K1" s="5" t="s">
        <v>98</v>
      </c>
    </row>
    <row r="2" customFormat="false" ht="15" hidden="false" customHeight="false" outlineLevel="0" collapsed="false">
      <c r="A2" s="6" t="s">
        <v>85</v>
      </c>
      <c r="B2" s="6" t="n">
        <f aca="false">COUNTIF('Shot Data'!$C$2:$C$65,$A2)</f>
        <v>4</v>
      </c>
      <c r="C2" s="6" t="n">
        <f aca="false">ROUND(AVERAGEIF('Shot Data'!$C$2:$C$65,$A2,'Shot Data'!$D$2:$D$65),1)</f>
        <v>162.9</v>
      </c>
      <c r="D2" s="6" t="n">
        <f aca="false">ROUND(MEDIAN(IF('Shot Data'!$C$2:$C$65=$A2,'Shot Data'!$D$2:$D$65)),1)</f>
        <v>0</v>
      </c>
      <c r="E2" s="6" t="n">
        <f aca="false">ROUND(MIN(IF('Shot Data'!$C$2:$C$65=$A2,'Shot Data'!$D$2:$D$65)),1)</f>
        <v>0</v>
      </c>
      <c r="F2" s="6" t="n">
        <f aca="false">ROUND(MAX(IF('Shot Data'!$C$2:$C$65=$A2,'Shot Data'!$D$2:$D$65)),1)</f>
        <v>0</v>
      </c>
      <c r="G2" s="6" t="n">
        <f aca="false">F2-E2</f>
        <v>0</v>
      </c>
      <c r="H2" s="6" t="n">
        <f aca="false">IF($A3="","",C2-C3)</f>
        <v>-10.3</v>
      </c>
      <c r="I2" s="6" t="n">
        <f aca="false">ROUND(AVERAGEIF('Shot Data'!$C$2:$C$65,$A2,'Shot Data'!$I$2:$I$65),2)</f>
        <v>1.44</v>
      </c>
      <c r="J2" s="6" t="n">
        <f aca="false">ROUND(AVERAGEIF('Shot Data'!$C$2:$C$65,$A2,'Shot Data'!$K$2:$K$65),0)</f>
        <v>2124</v>
      </c>
      <c r="K2" s="6" t="n">
        <f aca="false">ROUND(AVERAGEIF('Shot Data'!$C$2:$C$65,$A2,'Shot Data'!$F$2:$F$65),1)</f>
        <v>11.3</v>
      </c>
    </row>
    <row r="3" customFormat="false" ht="15" hidden="false" customHeight="false" outlineLevel="0" collapsed="false">
      <c r="A3" s="6" t="s">
        <v>79</v>
      </c>
      <c r="B3" s="6" t="n">
        <f aca="false">COUNTIF('Shot Data'!$C$2:$C$65,$A3)</f>
        <v>5</v>
      </c>
      <c r="C3" s="6" t="n">
        <f aca="false">ROUND(AVERAGEIF('Shot Data'!$C$2:$C$65,$A3,'Shot Data'!$D$2:$D$65),1)</f>
        <v>173.2</v>
      </c>
      <c r="D3" s="6" t="n">
        <f aca="false">ROUND(MEDIAN(IF('Shot Data'!$C$2:$C$65=$A3,'Shot Data'!$D$2:$D$65)),1)</f>
        <v>0</v>
      </c>
      <c r="E3" s="6" t="n">
        <f aca="false">ROUND(MIN(IF('Shot Data'!$C$2:$C$65=$A3,'Shot Data'!$D$2:$D$65)),1)</f>
        <v>0</v>
      </c>
      <c r="F3" s="6" t="n">
        <f aca="false">ROUND(MAX(IF('Shot Data'!$C$2:$C$65=$A3,'Shot Data'!$D$2:$D$65)),1)</f>
        <v>0</v>
      </c>
      <c r="G3" s="6" t="n">
        <f aca="false">F3-E3</f>
        <v>0</v>
      </c>
      <c r="H3" s="6" t="n">
        <f aca="false">IF($A4="","",C3-C4)</f>
        <v>-0.200000000000017</v>
      </c>
      <c r="I3" s="6" t="n">
        <f aca="false">ROUND(AVERAGEIF('Shot Data'!$C$2:$C$65,$A3,'Shot Data'!$I$2:$I$65),2)</f>
        <v>1.42</v>
      </c>
      <c r="J3" s="6" t="n">
        <f aca="false">ROUND(AVERAGEIF('Shot Data'!$C$2:$C$65,$A3,'Shot Data'!$K$2:$K$65),0)</f>
        <v>3119</v>
      </c>
      <c r="K3" s="6" t="n">
        <f aca="false">ROUND(AVERAGEIF('Shot Data'!$C$2:$C$65,$A3,'Shot Data'!$F$2:$F$65),1)</f>
        <v>11.5</v>
      </c>
    </row>
    <row r="4" customFormat="false" ht="15" hidden="false" customHeight="false" outlineLevel="0" collapsed="false">
      <c r="A4" s="6" t="s">
        <v>72</v>
      </c>
      <c r="B4" s="6" t="n">
        <f aca="false">COUNTIF('Shot Data'!$C$2:$C$65,$A4)</f>
        <v>6</v>
      </c>
      <c r="C4" s="6" t="n">
        <f aca="false">ROUND(AVERAGEIF('Shot Data'!$C$2:$C$65,$A4,'Shot Data'!$D$2:$D$65),1)</f>
        <v>173.4</v>
      </c>
      <c r="D4" s="6" t="n">
        <f aca="false">ROUND(MEDIAN(IF('Shot Data'!$C$2:$C$65=$A4,'Shot Data'!$D$2:$D$65)),1)</f>
        <v>0</v>
      </c>
      <c r="E4" s="6" t="n">
        <f aca="false">ROUND(MIN(IF('Shot Data'!$C$2:$C$65=$A4,'Shot Data'!$D$2:$D$65)),1)</f>
        <v>0</v>
      </c>
      <c r="F4" s="6" t="n">
        <f aca="false">ROUND(MAX(IF('Shot Data'!$C$2:$C$65=$A4,'Shot Data'!$D$2:$D$65)),1)</f>
        <v>0</v>
      </c>
      <c r="G4" s="6" t="n">
        <f aca="false">F4-E4</f>
        <v>0</v>
      </c>
      <c r="H4" s="6" t="n">
        <f aca="false">IF($A5="","",C4-C5)</f>
        <v>3.30000000000001</v>
      </c>
      <c r="I4" s="6" t="n">
        <f aca="false">ROUND(AVERAGEIF('Shot Data'!$C$2:$C$65,$A4,'Shot Data'!$I$2:$I$65),2)</f>
        <v>1.39</v>
      </c>
      <c r="J4" s="6" t="n">
        <f aca="false">ROUND(AVERAGEIF('Shot Data'!$C$2:$C$65,$A4,'Shot Data'!$K$2:$K$65),0)</f>
        <v>4449</v>
      </c>
      <c r="K4" s="6" t="n">
        <f aca="false">ROUND(AVERAGEIF('Shot Data'!$C$2:$C$65,$A4,'Shot Data'!$F$2:$F$65),1)</f>
        <v>4.6</v>
      </c>
    </row>
    <row r="5" customFormat="false" ht="15" hidden="false" customHeight="false" outlineLevel="0" collapsed="false">
      <c r="A5" s="6" t="s">
        <v>66</v>
      </c>
      <c r="B5" s="6" t="n">
        <f aca="false">COUNTIF('Shot Data'!$C$2:$C$65,$A5)</f>
        <v>5</v>
      </c>
      <c r="C5" s="6" t="n">
        <f aca="false">ROUND(AVERAGEIF('Shot Data'!$C$2:$C$65,$A5,'Shot Data'!$D$2:$D$65),1)</f>
        <v>170.1</v>
      </c>
      <c r="D5" s="6" t="n">
        <f aca="false">ROUND(MEDIAN(IF('Shot Data'!$C$2:$C$65=$A5,'Shot Data'!$D$2:$D$65)),1)</f>
        <v>0</v>
      </c>
      <c r="E5" s="6" t="n">
        <f aca="false">ROUND(MIN(IF('Shot Data'!$C$2:$C$65=$A5,'Shot Data'!$D$2:$D$65)),1)</f>
        <v>0</v>
      </c>
      <c r="F5" s="6" t="n">
        <f aca="false">ROUND(MAX(IF('Shot Data'!$C$2:$C$65=$A5,'Shot Data'!$D$2:$D$65)),1)</f>
        <v>0</v>
      </c>
      <c r="G5" s="6" t="n">
        <f aca="false">F5-E5</f>
        <v>0</v>
      </c>
      <c r="H5" s="6" t="n">
        <f aca="false">IF($A6="","",C5-C6)</f>
        <v>16.8</v>
      </c>
      <c r="I5" s="6" t="n">
        <f aca="false">ROUND(AVERAGEIF('Shot Data'!$C$2:$C$65,$A5,'Shot Data'!$I$2:$I$65),2)</f>
        <v>1.39</v>
      </c>
      <c r="J5" s="6" t="n">
        <f aca="false">ROUND(AVERAGEIF('Shot Data'!$C$2:$C$65,$A5,'Shot Data'!$K$2:$K$65),0)</f>
        <v>3725</v>
      </c>
      <c r="K5" s="6" t="n">
        <f aca="false">ROUND(AVERAGEIF('Shot Data'!$C$2:$C$65,$A5,'Shot Data'!$F$2:$F$65),1)</f>
        <v>13.9</v>
      </c>
    </row>
    <row r="6" customFormat="false" ht="15" hidden="false" customHeight="false" outlineLevel="0" collapsed="false">
      <c r="A6" s="6" t="s">
        <v>61</v>
      </c>
      <c r="B6" s="6" t="n">
        <f aca="false">COUNTIF('Shot Data'!$C$2:$C$65,$A6)</f>
        <v>4</v>
      </c>
      <c r="C6" s="6" t="n">
        <f aca="false">ROUND(AVERAGEIF('Shot Data'!$C$2:$C$65,$A6,'Shot Data'!$D$2:$D$65),1)</f>
        <v>153.3</v>
      </c>
      <c r="D6" s="6" t="n">
        <f aca="false">ROUND(MEDIAN(IF('Shot Data'!$C$2:$C$65=$A6,'Shot Data'!$D$2:$D$65)),1)</f>
        <v>0</v>
      </c>
      <c r="E6" s="6" t="n">
        <f aca="false">ROUND(MIN(IF('Shot Data'!$C$2:$C$65=$A6,'Shot Data'!$D$2:$D$65)),1)</f>
        <v>0</v>
      </c>
      <c r="F6" s="6" t="n">
        <f aca="false">ROUND(MAX(IF('Shot Data'!$C$2:$C$65=$A6,'Shot Data'!$D$2:$D$65)),1)</f>
        <v>0</v>
      </c>
      <c r="G6" s="6" t="n">
        <f aca="false">F6-E6</f>
        <v>0</v>
      </c>
      <c r="H6" s="6" t="n">
        <f aca="false">IF($A7="","",C6-C7)</f>
        <v>4.20000000000002</v>
      </c>
      <c r="I6" s="6" t="n">
        <f aca="false">ROUND(AVERAGEIF('Shot Data'!$C$2:$C$65,$A6,'Shot Data'!$I$2:$I$65),2)</f>
        <v>1.4</v>
      </c>
      <c r="J6" s="6" t="n">
        <f aca="false">ROUND(AVERAGEIF('Shot Data'!$C$2:$C$65,$A6,'Shot Data'!$K$2:$K$65),0)</f>
        <v>4013</v>
      </c>
      <c r="K6" s="6" t="n">
        <f aca="false">ROUND(AVERAGEIF('Shot Data'!$C$2:$C$65,$A6,'Shot Data'!$F$2:$F$65),1)</f>
        <v>2.6</v>
      </c>
    </row>
    <row r="7" customFormat="false" ht="15" hidden="false" customHeight="false" outlineLevel="0" collapsed="false">
      <c r="A7" s="6" t="s">
        <v>55</v>
      </c>
      <c r="B7" s="6" t="n">
        <f aca="false">COUNTIF('Shot Data'!$C$2:$C$65,$A7)</f>
        <v>5</v>
      </c>
      <c r="C7" s="6" t="n">
        <f aca="false">ROUND(AVERAGEIF('Shot Data'!$C$2:$C$65,$A7,'Shot Data'!$D$2:$D$65),1)</f>
        <v>149.1</v>
      </c>
      <c r="D7" s="6" t="n">
        <f aca="false">ROUND(MEDIAN(IF('Shot Data'!$C$2:$C$65=$A7,'Shot Data'!$D$2:$D$65)),1)</f>
        <v>0</v>
      </c>
      <c r="E7" s="6" t="n">
        <f aca="false">ROUND(MIN(IF('Shot Data'!$C$2:$C$65=$A7,'Shot Data'!$D$2:$D$65)),1)</f>
        <v>0</v>
      </c>
      <c r="F7" s="6" t="n">
        <f aca="false">ROUND(MAX(IF('Shot Data'!$C$2:$C$65=$A7,'Shot Data'!$D$2:$D$65)),1)</f>
        <v>0</v>
      </c>
      <c r="G7" s="6" t="n">
        <f aca="false">F7-E7</f>
        <v>0</v>
      </c>
      <c r="H7" s="6" t="n">
        <f aca="false">IF($A8="","",C7-C8)</f>
        <v>9.69999999999999</v>
      </c>
      <c r="I7" s="6" t="n">
        <f aca="false">ROUND(AVERAGEIF('Shot Data'!$C$2:$C$65,$A7,'Shot Data'!$I$2:$I$65),2)</f>
        <v>1.39</v>
      </c>
      <c r="J7" s="6" t="n">
        <f aca="false">ROUND(AVERAGEIF('Shot Data'!$C$2:$C$65,$A7,'Shot Data'!$K$2:$K$65),0)</f>
        <v>4246</v>
      </c>
      <c r="K7" s="6" t="n">
        <f aca="false">ROUND(AVERAGEIF('Shot Data'!$C$2:$C$65,$A7,'Shot Data'!$F$2:$F$65),1)</f>
        <v>-7.5</v>
      </c>
    </row>
    <row r="8" customFormat="false" ht="15" hidden="false" customHeight="false" outlineLevel="0" collapsed="false">
      <c r="A8" s="6" t="s">
        <v>49</v>
      </c>
      <c r="B8" s="6" t="n">
        <f aca="false">COUNTIF('Shot Data'!$C$2:$C$65,$A8)</f>
        <v>5</v>
      </c>
      <c r="C8" s="6" t="n">
        <f aca="false">ROUND(AVERAGEIF('Shot Data'!$C$2:$C$65,$A8,'Shot Data'!$D$2:$D$65),1)</f>
        <v>139.4</v>
      </c>
      <c r="D8" s="6" t="n">
        <f aca="false">ROUND(MEDIAN(IF('Shot Data'!$C$2:$C$65=$A8,'Shot Data'!$D$2:$D$65)),1)</f>
        <v>0</v>
      </c>
      <c r="E8" s="6" t="n">
        <f aca="false">ROUND(MIN(IF('Shot Data'!$C$2:$C$65=$A8,'Shot Data'!$D$2:$D$65)),1)</f>
        <v>0</v>
      </c>
      <c r="F8" s="6" t="n">
        <f aca="false">ROUND(MAX(IF('Shot Data'!$C$2:$C$65=$A8,'Shot Data'!$D$2:$D$65)),1)</f>
        <v>0</v>
      </c>
      <c r="G8" s="6" t="n">
        <f aca="false">F8-E8</f>
        <v>0</v>
      </c>
      <c r="H8" s="6" t="n">
        <f aca="false">IF($A9="","",C8-C9)</f>
        <v>10.9</v>
      </c>
      <c r="I8" s="6" t="n">
        <f aca="false">ROUND(AVERAGEIF('Shot Data'!$C$2:$C$65,$A8,'Shot Data'!$I$2:$I$65),2)</f>
        <v>1.33</v>
      </c>
      <c r="J8" s="6" t="n">
        <f aca="false">ROUND(AVERAGEIF('Shot Data'!$C$2:$C$65,$A8,'Shot Data'!$K$2:$K$65),0)</f>
        <v>4750</v>
      </c>
      <c r="K8" s="6" t="n">
        <f aca="false">ROUND(AVERAGEIF('Shot Data'!$C$2:$C$65,$A8,'Shot Data'!$F$2:$F$65),1)</f>
        <v>8.4</v>
      </c>
    </row>
    <row r="9" customFormat="false" ht="15" hidden="false" customHeight="false" outlineLevel="0" collapsed="false">
      <c r="A9" s="6" t="s">
        <v>43</v>
      </c>
      <c r="B9" s="6" t="n">
        <f aca="false">COUNTIF('Shot Data'!$C$2:$C$65,$A9)</f>
        <v>5</v>
      </c>
      <c r="C9" s="6" t="n">
        <f aca="false">ROUND(AVERAGEIF('Shot Data'!$C$2:$C$65,$A9,'Shot Data'!$D$2:$D$65),1)</f>
        <v>128.5</v>
      </c>
      <c r="D9" s="6" t="n">
        <f aca="false">ROUND(MEDIAN(IF('Shot Data'!$C$2:$C$65=$A9,'Shot Data'!$D$2:$D$65)),1)</f>
        <v>0</v>
      </c>
      <c r="E9" s="6" t="n">
        <f aca="false">ROUND(MIN(IF('Shot Data'!$C$2:$C$65=$A9,'Shot Data'!$D$2:$D$65)),1)</f>
        <v>0</v>
      </c>
      <c r="F9" s="6" t="n">
        <f aca="false">ROUND(MAX(IF('Shot Data'!$C$2:$C$65=$A9,'Shot Data'!$D$2:$D$65)),1)</f>
        <v>0</v>
      </c>
      <c r="G9" s="6" t="n">
        <f aca="false">F9-E9</f>
        <v>0</v>
      </c>
      <c r="H9" s="6" t="n">
        <f aca="false">IF($A10="","",C9-C10)</f>
        <v>9.5</v>
      </c>
      <c r="I9" s="6" t="n">
        <f aca="false">ROUND(AVERAGEIF('Shot Data'!$C$2:$C$65,$A9,'Shot Data'!$I$2:$I$65),2)</f>
        <v>1.3</v>
      </c>
      <c r="J9" s="6" t="n">
        <f aca="false">ROUND(AVERAGEIF('Shot Data'!$C$2:$C$65,$A9,'Shot Data'!$K$2:$K$65),0)</f>
        <v>5588</v>
      </c>
      <c r="K9" s="6" t="n">
        <f aca="false">ROUND(AVERAGEIF('Shot Data'!$C$2:$C$65,$A9,'Shot Data'!$F$2:$F$65),1)</f>
        <v>1</v>
      </c>
    </row>
    <row r="10" customFormat="false" ht="15" hidden="false" customHeight="false" outlineLevel="0" collapsed="false">
      <c r="A10" s="6" t="s">
        <v>37</v>
      </c>
      <c r="B10" s="6" t="n">
        <f aca="false">COUNTIF('Shot Data'!$C$2:$C$65,$A10)</f>
        <v>5</v>
      </c>
      <c r="C10" s="6" t="n">
        <f aca="false">ROUND(AVERAGEIF('Shot Data'!$C$2:$C$65,$A10,'Shot Data'!$D$2:$D$65),1)</f>
        <v>119</v>
      </c>
      <c r="D10" s="6" t="n">
        <f aca="false">ROUND(MEDIAN(IF('Shot Data'!$C$2:$C$65=$A10,'Shot Data'!$D$2:$D$65)),1)</f>
        <v>0</v>
      </c>
      <c r="E10" s="6" t="n">
        <f aca="false">ROUND(MIN(IF('Shot Data'!$C$2:$C$65=$A10,'Shot Data'!$D$2:$D$65)),1)</f>
        <v>0</v>
      </c>
      <c r="F10" s="6" t="n">
        <f aca="false">ROUND(MAX(IF('Shot Data'!$C$2:$C$65=$A10,'Shot Data'!$D$2:$D$65)),1)</f>
        <v>0</v>
      </c>
      <c r="G10" s="6" t="n">
        <f aca="false">F10-E10</f>
        <v>0</v>
      </c>
      <c r="H10" s="6" t="n">
        <f aca="false">IF($A11="","",C10-C11)</f>
        <v>13.4</v>
      </c>
      <c r="I10" s="6" t="n">
        <f aca="false">ROUND(AVERAGEIF('Shot Data'!$C$2:$C$65,$A10,'Shot Data'!$I$2:$I$65),2)</f>
        <v>1.28</v>
      </c>
      <c r="J10" s="6" t="n">
        <f aca="false">ROUND(AVERAGEIF('Shot Data'!$C$2:$C$65,$A10,'Shot Data'!$K$2:$K$65),0)</f>
        <v>6728</v>
      </c>
      <c r="K10" s="6" t="n">
        <f aca="false">ROUND(AVERAGEIF('Shot Data'!$C$2:$C$65,$A10,'Shot Data'!$F$2:$F$65),1)</f>
        <v>1.3</v>
      </c>
    </row>
    <row r="11" customFormat="false" ht="15" hidden="false" customHeight="false" outlineLevel="0" collapsed="false">
      <c r="A11" s="6" t="s">
        <v>31</v>
      </c>
      <c r="B11" s="6" t="n">
        <f aca="false">COUNTIF('Shot Data'!$C$2:$C$65,$A11)</f>
        <v>5</v>
      </c>
      <c r="C11" s="6" t="n">
        <f aca="false">ROUND(AVERAGEIF('Shot Data'!$C$2:$C$65,$A11,'Shot Data'!$D$2:$D$65),1)</f>
        <v>105.6</v>
      </c>
      <c r="D11" s="6" t="n">
        <f aca="false">ROUND(MEDIAN(IF('Shot Data'!$C$2:$C$65=$A11,'Shot Data'!$D$2:$D$65)),1)</f>
        <v>0</v>
      </c>
      <c r="E11" s="6" t="n">
        <f aca="false">ROUND(MIN(IF('Shot Data'!$C$2:$C$65=$A11,'Shot Data'!$D$2:$D$65)),1)</f>
        <v>0</v>
      </c>
      <c r="F11" s="6" t="n">
        <f aca="false">ROUND(MAX(IF('Shot Data'!$C$2:$C$65=$A11,'Shot Data'!$D$2:$D$65)),1)</f>
        <v>0</v>
      </c>
      <c r="G11" s="6" t="n">
        <f aca="false">F11-E11</f>
        <v>0</v>
      </c>
      <c r="H11" s="6" t="n">
        <f aca="false">IF($A12="","",C11-C12)</f>
        <v>22.6</v>
      </c>
      <c r="I11" s="6" t="n">
        <f aca="false">ROUND(AVERAGEIF('Shot Data'!$C$2:$C$65,$A11,'Shot Data'!$I$2:$I$65),2)</f>
        <v>1.25</v>
      </c>
      <c r="J11" s="6" t="n">
        <f aca="false">ROUND(AVERAGEIF('Shot Data'!$C$2:$C$65,$A11,'Shot Data'!$K$2:$K$65),0)</f>
        <v>6228</v>
      </c>
      <c r="K11" s="6" t="n">
        <f aca="false">ROUND(AVERAGEIF('Shot Data'!$C$2:$C$65,$A11,'Shot Data'!$F$2:$F$65),1)</f>
        <v>-5.7</v>
      </c>
    </row>
    <row r="12" customFormat="false" ht="15" hidden="false" customHeight="false" outlineLevel="0" collapsed="false">
      <c r="A12" s="6" t="s">
        <v>25</v>
      </c>
      <c r="B12" s="6" t="n">
        <f aca="false">COUNTIF('Shot Data'!$C$2:$C$65,$A12)</f>
        <v>5</v>
      </c>
      <c r="C12" s="6" t="n">
        <f aca="false">ROUND(AVERAGEIF('Shot Data'!$C$2:$C$65,$A12,'Shot Data'!$D$2:$D$65),1)</f>
        <v>83</v>
      </c>
      <c r="D12" s="6" t="n">
        <f aca="false">ROUND(MEDIAN(IF('Shot Data'!$C$2:$C$65=$A12,'Shot Data'!$D$2:$D$65)),1)</f>
        <v>135.6</v>
      </c>
      <c r="E12" s="6" t="n">
        <f aca="false">ROUND(MIN(IF('Shot Data'!$C$2:$C$65=$A12,'Shot Data'!$D$2:$D$65)),1)</f>
        <v>56.3</v>
      </c>
      <c r="F12" s="6" t="n">
        <f aca="false">ROUND(MAX(IF('Shot Data'!$C$2:$C$65=$A12,'Shot Data'!$D$2:$D$65)),1)</f>
        <v>196.1</v>
      </c>
      <c r="G12" s="6" t="n">
        <f aca="false">F12-E12</f>
        <v>139.8</v>
      </c>
      <c r="H12" s="6" t="n">
        <f aca="false">IF($A13="","",C12-C13)</f>
        <v>7.40000000000001</v>
      </c>
      <c r="I12" s="6" t="n">
        <f aca="false">ROUND(AVERAGEIF('Shot Data'!$C$2:$C$65,$A12,'Shot Data'!$I$2:$I$65),2)</f>
        <v>1.07</v>
      </c>
      <c r="J12" s="6" t="n">
        <f aca="false">ROUND(AVERAGEIF('Shot Data'!$C$2:$C$65,$A12,'Shot Data'!$K$2:$K$65),0)</f>
        <v>7878</v>
      </c>
      <c r="K12" s="6" t="n">
        <f aca="false">ROUND(AVERAGEIF('Shot Data'!$C$2:$C$65,$A12,'Shot Data'!$F$2:$F$65),1)</f>
        <v>2.8</v>
      </c>
    </row>
    <row r="13" customFormat="false" ht="15" hidden="false" customHeight="false" outlineLevel="0" collapsed="false">
      <c r="A13" s="6" t="s">
        <v>19</v>
      </c>
      <c r="B13" s="6" t="n">
        <f aca="false">COUNTIF('Shot Data'!$C$2:$C$65,$A13)</f>
        <v>5</v>
      </c>
      <c r="C13" s="6" t="n">
        <f aca="false">ROUND(AVERAGEIF('Shot Data'!$C$2:$C$65,$A13,'Shot Data'!$D$2:$D$65),1)</f>
        <v>75.6</v>
      </c>
      <c r="D13" s="6" t="n">
        <f aca="false">ROUND(MEDIAN(IF('Shot Data'!$C$2:$C$65=$A13,'Shot Data'!$D$2:$D$65)),1)</f>
        <v>0</v>
      </c>
      <c r="E13" s="6" t="n">
        <f aca="false">ROUND(MIN(IF('Shot Data'!$C$2:$C$65=$A13,'Shot Data'!$D$2:$D$65)),1)</f>
        <v>0</v>
      </c>
      <c r="F13" s="6" t="n">
        <f aca="false">ROUND(MAX(IF('Shot Data'!$C$2:$C$65=$A13,'Shot Data'!$D$2:$D$65)),1)</f>
        <v>0</v>
      </c>
      <c r="G13" s="6" t="n">
        <f aca="false">F13-E13</f>
        <v>0</v>
      </c>
      <c r="H13" s="6" t="n">
        <f aca="false">IF($A14="","",C13-C14)</f>
        <v>7.19999999999999</v>
      </c>
      <c r="I13" s="6" t="n">
        <f aca="false">ROUND(AVERAGEIF('Shot Data'!$C$2:$C$65,$A13,'Shot Data'!$I$2:$I$65),2)</f>
        <v>1.07</v>
      </c>
      <c r="J13" s="6" t="n">
        <f aca="false">ROUND(AVERAGEIF('Shot Data'!$C$2:$C$65,$A13,'Shot Data'!$K$2:$K$65),0)</f>
        <v>7935</v>
      </c>
      <c r="K13" s="6" t="n">
        <f aca="false">ROUND(AVERAGEIF('Shot Data'!$C$2:$C$65,$A13,'Shot Data'!$F$2:$F$65),1)</f>
        <v>0.8</v>
      </c>
    </row>
    <row r="14" customFormat="false" ht="15" hidden="false" customHeight="false" outlineLevel="0" collapsed="false">
      <c r="A14" s="6" t="s">
        <v>13</v>
      </c>
      <c r="B14" s="6" t="n">
        <f aca="false">COUNTIF('Shot Data'!$C$2:$C$65,$A14)</f>
        <v>5</v>
      </c>
      <c r="C14" s="6" t="n">
        <f aca="false">ROUND(AVERAGEIF('Shot Data'!$C$2:$C$65,$A14,'Shot Data'!$D$2:$D$65),1)</f>
        <v>68.4</v>
      </c>
      <c r="D14" s="6" t="n">
        <f aca="false">ROUND(MEDIAN(IF('Shot Data'!$C$2:$C$65=$A14,'Shot Data'!$D$2:$D$65)),1)</f>
        <v>0</v>
      </c>
      <c r="E14" s="6" t="n">
        <f aca="false">ROUND(MIN(IF('Shot Data'!$C$2:$C$65=$A14,'Shot Data'!$D$2:$D$65)),1)</f>
        <v>0</v>
      </c>
      <c r="F14" s="6" t="n">
        <f aca="false">ROUND(MAX(IF('Shot Data'!$C$2:$C$65=$A14,'Shot Data'!$D$2:$D$65)),1)</f>
        <v>0</v>
      </c>
      <c r="G14" s="6" t="n">
        <f aca="false">F14-E14</f>
        <v>0</v>
      </c>
      <c r="H14" s="6"/>
      <c r="I14" s="6" t="n">
        <f aca="false">ROUND(AVERAGEIF('Shot Data'!$C$2:$C$65,$A14,'Shot Data'!$I$2:$I$65),2)</f>
        <v>1.01</v>
      </c>
      <c r="J14" s="6" t="n">
        <f aca="false">ROUND(AVERAGEIF('Shot Data'!$C$2:$C$65,$A14,'Shot Data'!$K$2:$K$65),0)</f>
        <v>8881</v>
      </c>
      <c r="K14" s="6" t="n">
        <f aca="false">ROUND(AVERAGEIF('Shot Data'!$C$2:$C$65,$A14,'Shot Data'!$F$2:$F$65),1)</f>
        <v>-3.2</v>
      </c>
    </row>
    <row r="16" customFormat="false" ht="15" hidden="false" customHeight="false" outlineLevel="0" collapsed="false">
      <c r="A16" s="7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5"/>
  </cols>
  <sheetData>
    <row r="1" customFormat="false" ht="29.85" hidden="false" customHeight="false" outlineLevel="0" collapsed="false">
      <c r="A1" s="8" t="s">
        <v>100</v>
      </c>
      <c r="B1" s="9"/>
    </row>
    <row r="2" customFormat="false" ht="15" hidden="false" customHeight="false" outlineLevel="0" collapsed="false">
      <c r="A2" s="10"/>
      <c r="B2" s="9"/>
    </row>
    <row r="3" customFormat="false" ht="51.75" hidden="false" customHeight="true" outlineLevel="0" collapsed="false">
      <c r="A3" s="10" t="s">
        <v>101</v>
      </c>
      <c r="B3" s="9" t="s">
        <v>102</v>
      </c>
    </row>
    <row r="4" customFormat="false" ht="51.75" hidden="false" customHeight="true" outlineLevel="0" collapsed="false">
      <c r="A4" s="10" t="s">
        <v>103</v>
      </c>
      <c r="B4" s="9" t="s">
        <v>104</v>
      </c>
    </row>
    <row r="5" customFormat="false" ht="51.75" hidden="false" customHeight="true" outlineLevel="0" collapsed="false">
      <c r="A5" s="10" t="s">
        <v>105</v>
      </c>
      <c r="B5" s="9" t="s">
        <v>106</v>
      </c>
    </row>
    <row r="6" customFormat="false" ht="51.75" hidden="false" customHeight="true" outlineLevel="0" collapsed="false">
      <c r="A6" s="10" t="s">
        <v>107</v>
      </c>
      <c r="B6" s="9" t="s">
        <v>108</v>
      </c>
    </row>
    <row r="7" customFormat="false" ht="51.75" hidden="false" customHeight="true" outlineLevel="0" collapsed="false">
      <c r="A7" s="10" t="s">
        <v>109</v>
      </c>
      <c r="B7" s="9" t="s">
        <v>110</v>
      </c>
    </row>
    <row r="8" customFormat="false" ht="51.75" hidden="false" customHeight="true" outlineLevel="0" collapsed="false">
      <c r="A8" s="10" t="s">
        <v>111</v>
      </c>
      <c r="B8" s="9" t="s">
        <v>112</v>
      </c>
    </row>
    <row r="9" customFormat="false" ht="51.75" hidden="false" customHeight="true" outlineLevel="0" collapsed="false">
      <c r="A9" s="10" t="s">
        <v>113</v>
      </c>
      <c r="B9" s="9" t="s">
        <v>114</v>
      </c>
    </row>
    <row r="10" customFormat="false" ht="15" hidden="false" customHeight="false" outlineLevel="0" collapsed="false">
      <c r="A10" s="10"/>
      <c r="B10" s="9"/>
    </row>
    <row r="11" customFormat="false" ht="51.75" hidden="false" customHeight="true" outlineLevel="0" collapsed="false">
      <c r="A11" s="10" t="s">
        <v>115</v>
      </c>
      <c r="B11" s="9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2026-08-22T01:55:36Z</dcterms:created>
  <dc:creator>openpyxl</dc:creator>
  <dc:description/>
  <dc:language>en-US</dc:language>
  <cp:lastModifiedBy/>
  <dcterms:modified xsi:type="dcterms:W3CDTF">2026-08-22T01:55:43Z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